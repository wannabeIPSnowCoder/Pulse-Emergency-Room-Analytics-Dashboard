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adb44fea42f3ddb/Desktop/"/>
    </mc:Choice>
  </mc:AlternateContent>
  <xr:revisionPtr revIDLastSave="967" documentId="8_{E39AB95B-8A0E-441D-84FA-446D7E61288F}" xr6:coauthVersionLast="47" xr6:coauthVersionMax="47" xr10:uidLastSave="{6CDF6317-80CE-4A1A-8778-F1488990DC73}"/>
  <bookViews>
    <workbookView xWindow="-98" yWindow="-98" windowWidth="21795" windowHeight="12975" tabRatio="817" activeTab="1" xr2:uid="{6E0D4813-F3BC-4AB3-9484-59276A9AC7B7}"/>
  </bookViews>
  <sheets>
    <sheet name="Pivot Report" sheetId="1" r:id="rId1"/>
    <sheet name="Dashboard" sheetId="2" r:id="rId2"/>
    <sheet name="Daily ER No. of Patients" sheetId="3" r:id="rId3"/>
    <sheet name="Average Wait Time" sheetId="4" r:id="rId4"/>
    <sheet name="Patient Satisfaction Score" sheetId="5" r:id="rId5"/>
  </sheets>
  <definedNames>
    <definedName name="Slicer_Date__Month">#N/A</definedName>
    <definedName name="Slicer_Date__Year">#N/A</definedName>
  </definedNames>
  <calcPr calcId="191029"/>
  <pivotCaches>
    <pivotCache cacheId="1204" r:id="rId6"/>
    <pivotCache cacheId="1207" r:id="rId7"/>
    <pivotCache cacheId="1210" r:id="rId8"/>
    <pivotCache cacheId="1213" r:id="rId9"/>
    <pivotCache cacheId="1216" r:id="rId10"/>
    <pivotCache cacheId="1219" r:id="rId11"/>
    <pivotCache cacheId="1222" r:id="rId12"/>
    <pivotCache cacheId="1225" r:id="rId13"/>
    <pivotCache cacheId="1228" r:id="rId14"/>
    <pivotCache cacheId="1231" r:id="rId15"/>
    <pivotCache cacheId="1234" r:id="rId16"/>
    <pivotCache cacheId="1237" r:id="rId17"/>
  </pivotCaches>
  <extLst>
    <ext xmlns:x14="http://schemas.microsoft.com/office/spreadsheetml/2009/9/main" uri="{876F7934-8845-4945-9796-88D515C7AA90}">
      <x14:pivotCaches>
        <pivotCache cacheId="65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7fa9cca-0428-4f37-81f1-a1177316e7e2" name="Hospital Emergency Room Data" connection="Query - Hospital Emergency Room Data"/>
          <x15:modelTable id="Calendar_Table_70eecf34-7dfc-492b-9ef2-af9e4f80bc7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1" l="1"/>
  <c r="R14" i="1"/>
  <c r="Q13" i="1"/>
  <c r="R13" i="1"/>
  <c r="P13" i="1"/>
  <c r="P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CBCB9B-BD4F-4A0A-860D-BA415E77FD9E}" name="Query - Calendar_Table" description="Connection to the 'Calendar_Table' query in the workbook." type="100" refreshedVersion="8" minRefreshableVersion="5">
    <extLst>
      <ext xmlns:x15="http://schemas.microsoft.com/office/spreadsheetml/2010/11/main" uri="{DE250136-89BD-433C-8126-D09CA5730AF9}">
        <x15:connection id="9bb16da6-92c5-4078-b42d-e0a4f5998fda"/>
      </ext>
    </extLst>
  </connection>
  <connection id="2" xr16:uid="{B6CF987C-9813-4440-8F07-54D09068BF5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0a518be-2add-40af-a309-fa72fc98f8cd"/>
      </ext>
    </extLst>
  </connection>
  <connection id="3" xr16:uid="{DF3EEA4F-F94C-42F2-8920-15FFDB06197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<sst xmlns="http://schemas.openxmlformats.org/spreadsheetml/2006/main" count="163" uniqueCount="81">
  <si>
    <t>Distinct Count of Patient Id</t>
  </si>
  <si>
    <t>No. Of Patient</t>
  </si>
  <si>
    <t>Average of Patient Waittime</t>
  </si>
  <si>
    <t>Average of Patient Satisfaction Score</t>
  </si>
  <si>
    <t>Row Labels</t>
  </si>
  <si>
    <t>Grand Total</t>
  </si>
  <si>
    <t>Daily Trends of Number of Patients</t>
  </si>
  <si>
    <t>Average Wait Time</t>
  </si>
  <si>
    <t>Daily Emergency Room No. of Patients</t>
  </si>
  <si>
    <t>Showing a daily Trend with an Area Chart to spot Patterns like Busy Days or Seasonal Trends</t>
  </si>
  <si>
    <t>Use an Area Chart to Highlight Days With Longer Wait Times that needs Improvement.</t>
  </si>
  <si>
    <t>Use an Area Chart to Show Trends,Spot Drops in Satisfaction &amp; Linked them to Busy Times or challenges</t>
  </si>
  <si>
    <t>Patient Satisfaction Score</t>
  </si>
  <si>
    <t>Count of Patient Attend Status</t>
  </si>
  <si>
    <t>Count of Patient Admission Flag</t>
  </si>
  <si>
    <t>Admitted</t>
  </si>
  <si>
    <t>Not Admitted</t>
  </si>
  <si>
    <t>Count of Patient Admission Flag2</t>
  </si>
  <si>
    <t>Admission Status</t>
  </si>
  <si>
    <t>% Status</t>
  </si>
  <si>
    <t xml:space="preserve"> No. of Patient</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</si>
  <si>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</si>
  <si>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</si>
  <si>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</si>
  <si>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</si>
  <si>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</si>
  <si>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</si>
  <si>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</si>
  <si>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</si>
  <si>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</si>
  <si>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</si>
  <si>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</si>
  <si>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</si>
  <si>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</si>
  <si>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</si>
  <si>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</si>
  <si>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</si>
  <si>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</si>
  <si>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</si>
  <si>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</si>
  <si>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</si>
  <si>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</si>
  <si>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</si>
  <si>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</si>
  <si>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</si>
  <si>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</si>
  <si>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</si>
  <si>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</si>
  <si>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</si>
  <si>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</si>
  <si>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</si>
  <si>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</si>
  <si>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Count of Age Group</t>
  </si>
  <si>
    <t>0-09</t>
  </si>
  <si>
    <t>10-19</t>
  </si>
  <si>
    <t>20-29</t>
  </si>
  <si>
    <t>30-39</t>
  </si>
  <si>
    <t>40-49</t>
  </si>
  <si>
    <t>50-59</t>
  </si>
  <si>
    <t>60-69</t>
  </si>
  <si>
    <t>70-79</t>
  </si>
  <si>
    <t>Age Group Wise No. of Patients</t>
  </si>
  <si>
    <t>Count of Patient Id</t>
  </si>
  <si>
    <t>Delay</t>
  </si>
  <si>
    <t>Ontime</t>
  </si>
  <si>
    <t>Count Of Patients Attended On-Time or Delay</t>
  </si>
  <si>
    <t>Female</t>
  </si>
  <si>
    <t>Male</t>
  </si>
  <si>
    <t>No. of Patients by Gender</t>
  </si>
  <si>
    <t>Cardiology</t>
  </si>
  <si>
    <t>Gastroenterology</t>
  </si>
  <si>
    <t>General Practice</t>
  </si>
  <si>
    <t>Neurology</t>
  </si>
  <si>
    <t>None</t>
  </si>
  <si>
    <t>Orthopedics</t>
  </si>
  <si>
    <t>Physiotherapy</t>
  </si>
  <si>
    <t>Renal</t>
  </si>
  <si>
    <t>Count of Department Referral</t>
  </si>
  <si>
    <t>No. of Patients by Department Referral</t>
  </si>
  <si>
    <t>2023</t>
  </si>
  <si>
    <t>Year Slicer k liye banaya gaya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</si>
</sst>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20"/>
      <color theme="0"/>
      <name val="Arial Rounded MT Bold"/>
      <family val="2"/>
    </font>
    <font>
      <sz val="11"/>
      <color theme="0"/>
      <name val="Arial Rounded MT Bold"/>
      <family val="2"/>
    </font>
    <font>
      <sz val="28"/>
      <color theme="1"/>
      <name val="Aptos Narrow"/>
      <family val="2"/>
      <scheme val="minor"/>
    </font>
    <font>
      <sz val="28"/>
      <color theme="0"/>
      <name val="Arial Rounded MT Bold"/>
      <family val="2"/>
    </font>
    <font>
      <b/>
      <sz val="11"/>
      <color theme="1"/>
      <name val="Arial Rounded MT Bold"/>
      <family val="2"/>
    </font>
    <font>
      <b/>
      <sz val="14"/>
      <color theme="1"/>
      <name val="Arial Rounded MT Bold"/>
      <family val="2"/>
    </font>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1" fillId="3" borderId="0" xfId="0" applyFont="1" applyFill="1"/>
    <xf numFmtId="0" fontId="2" fillId="3" borderId="0" xfId="0" applyFont="1" applyFill="1"/>
    <xf numFmtId="0" fontId="3" fillId="0" borderId="0" xfId="0" applyFont="1"/>
    <xf numFmtId="0" fontId="3" fillId="3" borderId="0" xfId="0" applyFont="1" applyFill="1"/>
    <xf numFmtId="0" fontId="4" fillId="3" borderId="0" xfId="0" applyFont="1" applyFill="1"/>
    <xf numFmtId="0" fontId="0" fillId="4" borderId="0" xfId="0" applyFill="1"/>
    <xf numFmtId="0" fontId="5" fillId="4" borderId="0" xfId="0" applyFont="1" applyFill="1"/>
    <xf numFmtId="0" fontId="6" fillId="4" borderId="0" xfId="0" applyFont="1" applyFill="1"/>
    <xf numFmtId="0" fontId="0" fillId="0" borderId="0" xfId="0" applyNumberFormat="1"/>
    <xf numFmtId="1" fontId="0" fillId="0" borderId="0" xfId="0" applyNumberFormat="1"/>
    <xf numFmtId="10" fontId="0" fillId="0" borderId="0" xfId="0" applyNumberFormat="1"/>
    <xf numFmtId="0" fontId="0" fillId="3" borderId="0" xfId="0" applyFill="1"/>
    <xf numFmtId="0" fontId="8" fillId="3" borderId="0" xfId="0" applyFont="1" applyFill="1" applyAlignment="1">
      <alignment horizontal="left"/>
    </xf>
    <xf numFmtId="0" fontId="8" fillId="3" borderId="0" xfId="0" applyFont="1" applyFill="1"/>
    <xf numFmtId="0" fontId="0" fillId="5" borderId="0" xfId="0" applyFill="1" applyAlignment="1">
      <alignment horizontal="center" vertical="center"/>
    </xf>
    <xf numFmtId="9" fontId="0" fillId="5" borderId="0" xfId="1" applyFont="1" applyFill="1" applyAlignment="1">
      <alignment horizontal="center" vertical="center"/>
    </xf>
    <xf numFmtId="0" fontId="0" fillId="5" borderId="0" xfId="0" applyFill="1"/>
  </cellXfs>
  <cellStyles count="2">
    <cellStyle name="Normal" xfId="0" builtinId="0"/>
    <cellStyle name="Percent" xfId="1" builtinId="5"/>
  </cellStyles>
  <dxfs count="313">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65" formatCode="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7.8"/>
        <color theme="1"/>
      </font>
      <fill>
        <patternFill>
          <bgColor theme="2"/>
        </patternFill>
      </fill>
      <border diagonalUp="0" diagonalDown="0">
        <left/>
        <right/>
        <top/>
        <bottom/>
        <vertical/>
        <horizontal/>
      </border>
    </dxf>
  </dxfs>
  <tableStyles count="1" defaultTableStyle="TableStyleMedium2" defaultPivotStyle="PivotStyleLight16">
    <tableStyle name="My style" pivot="0" table="0" count="10" xr9:uid="{0E16DDA6-0015-464A-9D43-262A86AF2B02}">
      <tableStyleElement type="wholeTable" dxfId="312"/>
      <tableStyleElement type="headerRow" dxfId="3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1-8B71-4E61-8423-370DD128C9AE}"/>
            </c:ext>
          </c:extLst>
        </c:ser>
        <c:dLbls>
          <c:showLegendKey val="0"/>
          <c:showVal val="0"/>
          <c:showCatName val="0"/>
          <c:showSerName val="0"/>
          <c:showPercent val="0"/>
          <c:showBubbleSize val="0"/>
        </c:dLbls>
        <c:axId val="1789362016"/>
        <c:axId val="1789345696"/>
      </c:areaChart>
      <c:catAx>
        <c:axId val="1789362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45696"/>
        <c:crosses val="autoZero"/>
        <c:auto val="1"/>
        <c:lblAlgn val="ctr"/>
        <c:lblOffset val="100"/>
        <c:noMultiLvlLbl val="0"/>
      </c:catAx>
      <c:valAx>
        <c:axId val="178934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620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Report!PivotTable5</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Report'!$B$24</c:f>
              <c:strCache>
                <c:ptCount val="1"/>
                <c:pt idx="0">
                  <c:v>Total</c:v>
                </c:pt>
              </c:strCache>
            </c:strRef>
          </c:tx>
          <c:spPr>
            <a:solidFill>
              <a:schemeClr val="accent1"/>
            </a:solidFill>
            <a:ln w="25400">
              <a:noFill/>
            </a:ln>
            <a:effectLst/>
          </c:spPr>
          <c:cat>
            <c:strRef>
              <c:f>'Pivot Report'!$A$25:$A$56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Report'!$B$25:$B$56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1-758A-4D55-BA88-AB996A4EE121}"/>
            </c:ext>
          </c:extLst>
        </c:ser>
        <c:dLbls>
          <c:showLegendKey val="0"/>
          <c:showVal val="0"/>
          <c:showCatName val="0"/>
          <c:showSerName val="0"/>
          <c:showPercent val="0"/>
          <c:showBubbleSize val="0"/>
        </c:dLbls>
        <c:axId val="541116239"/>
        <c:axId val="541117679"/>
      </c:areaChart>
      <c:catAx>
        <c:axId val="541116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17679"/>
        <c:crosses val="autoZero"/>
        <c:auto val="1"/>
        <c:lblAlgn val="ctr"/>
        <c:lblOffset val="100"/>
        <c:noMultiLvlLbl val="0"/>
      </c:catAx>
      <c:valAx>
        <c:axId val="541117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16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Report!PivotTable6</c:name>
    <c:fmtId val="3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Report'!$I$47</c:f>
              <c:strCache>
                <c:ptCount val="1"/>
                <c:pt idx="0">
                  <c:v>Total</c:v>
                </c:pt>
              </c:strCache>
            </c:strRef>
          </c:tx>
          <c:spPr>
            <a:solidFill>
              <a:schemeClr val="accent1"/>
            </a:solidFill>
            <a:ln w="25400">
              <a:noFill/>
            </a:ln>
            <a:effectLst/>
          </c:spPr>
          <c:cat>
            <c:strRef>
              <c:f>'Pivot Report'!$H$48:$H$78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Report'!$I$48:$I$78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1-AEAD-4A21-8F99-A4CC611D1CEC}"/>
            </c:ext>
          </c:extLst>
        </c:ser>
        <c:dLbls>
          <c:showLegendKey val="0"/>
          <c:showVal val="0"/>
          <c:showCatName val="0"/>
          <c:showSerName val="0"/>
          <c:showPercent val="0"/>
          <c:showBubbleSize val="0"/>
        </c:dLbls>
        <c:axId val="780277295"/>
        <c:axId val="780279215"/>
      </c:areaChart>
      <c:catAx>
        <c:axId val="780277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279215"/>
        <c:crosses val="autoZero"/>
        <c:auto val="1"/>
        <c:lblAlgn val="ctr"/>
        <c:lblOffset val="100"/>
        <c:noMultiLvlLbl val="0"/>
      </c:catAx>
      <c:valAx>
        <c:axId val="780279215"/>
        <c:scaling>
          <c:orientation val="minMax"/>
        </c:scaling>
        <c:delete val="1"/>
        <c:axPos val="l"/>
        <c:numFmt formatCode="0.00" sourceLinked="1"/>
        <c:majorTickMark val="none"/>
        <c:minorTickMark val="none"/>
        <c:tickLblPos val="nextTo"/>
        <c:crossAx val="780277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FDD9B235-CC53-4820-9D55-8F2A3F124433}" type="CELLRANGE">
                  <a:rPr lang="en-US"/>
                  <a:pPr>
                    <a:defRPr sz="7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54FC7686-EBA1-4E1A-A24D-58B03D90C15D}" type="CELLRANGE">
                  <a:rPr lang="en-US"/>
                  <a:pPr>
                    <a:defRPr sz="7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
          <c:y val="0.20125799452483173"/>
          <c:w val="0.55021569719386487"/>
          <c:h val="0.63102701003780848"/>
        </c:manualLayout>
      </c:layout>
      <c:barChart>
        <c:barDir val="bar"/>
        <c:grouping val="clustered"/>
        <c:varyColors val="0"/>
        <c:ser>
          <c:idx val="0"/>
          <c:order val="0"/>
          <c:tx>
            <c:strRef>
              <c:f>'Pivot Report'!$R$7:$R$8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Report'!$R$7:$R$8</c:f>
              <c:strCache>
                <c:ptCount val="2"/>
                <c:pt idx="0">
                  <c:v>Admitted</c:v>
                </c:pt>
                <c:pt idx="1">
                  <c:v>Not Admitted</c:v>
                </c:pt>
              </c:strCache>
            </c:strRef>
          </c:cat>
          <c:val>
            <c:numRef>
              <c:f>'Pivot Report'!$R$7:$R$8</c:f>
              <c:numCache>
                <c:formatCode>0</c:formatCode>
                <c:ptCount val="2"/>
                <c:pt idx="0">
                  <c:v>229</c:v>
                </c:pt>
                <c:pt idx="1">
                  <c:v>251</c:v>
                </c:pt>
              </c:numCache>
            </c:numRef>
          </c:val>
          <c:extLst>
            <c:ext xmlns:c16="http://schemas.microsoft.com/office/drawing/2014/chart" uri="{C3380CC4-5D6E-409C-BE32-E72D297353CC}">
              <c16:uniqueId val="{00000007-647A-4F34-8331-4491D2976379}"/>
            </c:ext>
          </c:extLst>
        </c:ser>
        <c:ser>
          <c:idx val="1"/>
          <c:order val="1"/>
          <c:tx>
            <c:strRef>
              <c:f>'Pivot Report'!$R$7:$R$8</c:f>
              <c:strCache>
                <c:ptCount val="1"/>
                <c:pt idx="0">
                  <c:v>Count of Patient Admission Flag2</c:v>
                </c:pt>
              </c:strCache>
            </c:strRef>
          </c:tx>
          <c:spPr>
            <a:solidFill>
              <a:schemeClr val="accent2"/>
            </a:solidFill>
            <a:ln>
              <a:noFill/>
            </a:ln>
            <a:effectLst/>
          </c:spPr>
          <c:invertIfNegative val="0"/>
          <c:cat>
            <c:strRef>
              <c:f>'Pivot Report'!$R$7:$R$8</c:f>
              <c:strCache>
                <c:ptCount val="2"/>
                <c:pt idx="0">
                  <c:v>Admitted</c:v>
                </c:pt>
                <c:pt idx="1">
                  <c:v>Not Admitted</c:v>
                </c:pt>
              </c:strCache>
            </c:strRef>
          </c:cat>
          <c:val>
            <c:numRef>
              <c:f>'Pivot Report'!$R$7:$R$8</c:f>
              <c:numCache>
                <c:formatCode>0.00%</c:formatCode>
                <c:ptCount val="2"/>
                <c:pt idx="0">
                  <c:v>0.47708333333333336</c:v>
                </c:pt>
                <c:pt idx="1">
                  <c:v>0.5229166666666667</c:v>
                </c:pt>
              </c:numCache>
            </c:numRef>
          </c:val>
          <c:extLst>
            <c:ext xmlns:c16="http://schemas.microsoft.com/office/drawing/2014/chart" uri="{C3380CC4-5D6E-409C-BE32-E72D297353CC}">
              <c16:uniqueId val="{00000008-647A-4F34-8331-4491D2976379}"/>
            </c:ext>
          </c:extLst>
        </c:ser>
        <c:dLbls>
          <c:dLblPos val="outEnd"/>
          <c:showLegendKey val="0"/>
          <c:showVal val="0"/>
          <c:showCatName val="0"/>
          <c:showSerName val="0"/>
          <c:showPercent val="0"/>
          <c:showBubbleSize val="0"/>
        </c:dLbls>
        <c:gapWidth val="365"/>
        <c:axId val="1914046559"/>
        <c:axId val="1914037439"/>
      </c:barChart>
      <c:catAx>
        <c:axId val="1914046559"/>
        <c:scaling>
          <c:orientation val="minMax"/>
        </c:scaling>
        <c:delete val="1"/>
        <c:axPos val="l"/>
        <c:numFmt formatCode="General" sourceLinked="1"/>
        <c:majorTickMark val="none"/>
        <c:minorTickMark val="none"/>
        <c:tickLblPos val="nextTo"/>
        <c:crossAx val="1914037439"/>
        <c:crosses val="autoZero"/>
        <c:auto val="1"/>
        <c:lblAlgn val="ctr"/>
        <c:lblOffset val="100"/>
        <c:noMultiLvlLbl val="0"/>
      </c:catAx>
      <c:valAx>
        <c:axId val="1914037439"/>
        <c:scaling>
          <c:orientation val="minMax"/>
        </c:scaling>
        <c:delete val="1"/>
        <c:axPos val="b"/>
        <c:numFmt formatCode="0" sourceLinked="1"/>
        <c:majorTickMark val="none"/>
        <c:minorTickMark val="none"/>
        <c:tickLblPos val="nextTo"/>
        <c:crossAx val="191404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Report!PivotTable8</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Report'!$W$7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Report'!$V$8:$V$16</c:f>
              <c:strCache>
                <c:ptCount val="8"/>
                <c:pt idx="0">
                  <c:v>0-09</c:v>
                </c:pt>
                <c:pt idx="1">
                  <c:v>10-19</c:v>
                </c:pt>
                <c:pt idx="2">
                  <c:v>20-29</c:v>
                </c:pt>
                <c:pt idx="3">
                  <c:v>30-39</c:v>
                </c:pt>
                <c:pt idx="4">
                  <c:v>40-49</c:v>
                </c:pt>
                <c:pt idx="5">
                  <c:v>50-59</c:v>
                </c:pt>
                <c:pt idx="6">
                  <c:v>60-69</c:v>
                </c:pt>
                <c:pt idx="7">
                  <c:v>70-79</c:v>
                </c:pt>
              </c:strCache>
            </c:strRef>
          </c:cat>
          <c:val>
            <c:numRef>
              <c:f>'Pivot Report'!$W$8:$W$16</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3-97EC-45B4-A4BD-A98186A7829B}"/>
            </c:ext>
          </c:extLst>
        </c:ser>
        <c:dLbls>
          <c:dLblPos val="outEnd"/>
          <c:showLegendKey val="0"/>
          <c:showVal val="1"/>
          <c:showCatName val="0"/>
          <c:showSerName val="0"/>
          <c:showPercent val="0"/>
          <c:showBubbleSize val="0"/>
        </c:dLbls>
        <c:gapWidth val="219"/>
        <c:overlap val="-27"/>
        <c:axId val="656514703"/>
        <c:axId val="656510383"/>
      </c:barChart>
      <c:catAx>
        <c:axId val="6565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10383"/>
        <c:crosses val="autoZero"/>
        <c:auto val="1"/>
        <c:lblAlgn val="ctr"/>
        <c:lblOffset val="100"/>
        <c:noMultiLvlLbl val="0"/>
      </c:catAx>
      <c:valAx>
        <c:axId val="656510383"/>
        <c:scaling>
          <c:orientation val="minMax"/>
        </c:scaling>
        <c:delete val="1"/>
        <c:axPos val="l"/>
        <c:numFmt formatCode="0" sourceLinked="1"/>
        <c:majorTickMark val="none"/>
        <c:minorTickMark val="none"/>
        <c:tickLblPos val="nextTo"/>
        <c:crossAx val="6565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Report'!$AF$7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Report'!$AE$8:$AE$10</c:f>
              <c:strCache>
                <c:ptCount val="2"/>
                <c:pt idx="0">
                  <c:v>Delay</c:v>
                </c:pt>
                <c:pt idx="1">
                  <c:v>Ontime</c:v>
                </c:pt>
              </c:strCache>
            </c:strRef>
          </c:cat>
          <c:val>
            <c:numRef>
              <c:f>'Pivot Report'!$AF$8:$AF$10</c:f>
              <c:numCache>
                <c:formatCode>0</c:formatCode>
                <c:ptCount val="2"/>
                <c:pt idx="0">
                  <c:v>267</c:v>
                </c:pt>
                <c:pt idx="1">
                  <c:v>213</c:v>
                </c:pt>
              </c:numCache>
            </c:numRef>
          </c:val>
          <c:extLst>
            <c:ext xmlns:c16="http://schemas.microsoft.com/office/drawing/2014/chart" uri="{C3380CC4-5D6E-409C-BE32-E72D297353CC}">
              <c16:uniqueId val="{00000003-F7F8-419E-B415-D059A35F82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Report!PivotTable10</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22965879265093"/>
          <c:y val="5.0925925925925923E-2"/>
          <c:w val="0.49166666666666664"/>
          <c:h val="0.81944444444444442"/>
        </c:manualLayout>
      </c:layout>
      <c:doughnutChart>
        <c:varyColors val="1"/>
        <c:ser>
          <c:idx val="0"/>
          <c:order val="0"/>
          <c:tx>
            <c:strRef>
              <c:f>'Pivot Report'!$AO$7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cat>
            <c:strRef>
              <c:f>'Pivot Report'!$AN$8:$AN$10</c:f>
              <c:strCache>
                <c:ptCount val="2"/>
                <c:pt idx="0">
                  <c:v>Female</c:v>
                </c:pt>
                <c:pt idx="1">
                  <c:v>Male</c:v>
                </c:pt>
              </c:strCache>
            </c:strRef>
          </c:cat>
          <c:val>
            <c:numRef>
              <c:f>'Pivot Report'!$AO$8:$AO$10</c:f>
              <c:numCache>
                <c:formatCode>0</c:formatCode>
                <c:ptCount val="2"/>
                <c:pt idx="0">
                  <c:v>261</c:v>
                </c:pt>
                <c:pt idx="1">
                  <c:v>219</c:v>
                </c:pt>
              </c:numCache>
            </c:numRef>
          </c:val>
          <c:extLst>
            <c:ext xmlns:c16="http://schemas.microsoft.com/office/drawing/2014/chart" uri="{C3380CC4-5D6E-409C-BE32-E72D297353CC}">
              <c16:uniqueId val="{00000003-09BE-4705-BBD0-1D311FCB05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1.7842738407699038E-2"/>
          <c:y val="2.0335010207057455E-2"/>
          <c:w val="0.28493503937007869"/>
          <c:h val="0.123843686205890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Report'!$AW$9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Report'!$AV$10:$AV$18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Report'!$AW$10:$AW$18</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FFBC-4254-84FE-A46E9F973C7D}"/>
            </c:ext>
          </c:extLst>
        </c:ser>
        <c:dLbls>
          <c:dLblPos val="outEnd"/>
          <c:showLegendKey val="0"/>
          <c:showVal val="1"/>
          <c:showCatName val="0"/>
          <c:showSerName val="0"/>
          <c:showPercent val="0"/>
          <c:showBubbleSize val="0"/>
        </c:dLbls>
        <c:gapWidth val="182"/>
        <c:axId val="1681591775"/>
        <c:axId val="1681591295"/>
      </c:barChart>
      <c:catAx>
        <c:axId val="168159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91295"/>
        <c:crosses val="autoZero"/>
        <c:auto val="1"/>
        <c:lblAlgn val="ctr"/>
        <c:lblOffset val="100"/>
        <c:noMultiLvlLbl val="0"/>
      </c:catAx>
      <c:valAx>
        <c:axId val="1681591295"/>
        <c:scaling>
          <c:orientation val="minMax"/>
        </c:scaling>
        <c:delete val="1"/>
        <c:axPos val="b"/>
        <c:numFmt formatCode="0" sourceLinked="1"/>
        <c:majorTickMark val="none"/>
        <c:minorTickMark val="none"/>
        <c:tickLblPos val="nextTo"/>
        <c:crossAx val="168159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Report!PivotTable4</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736657477417703E-2"/>
          <c:w val="1"/>
          <c:h val="0.9394825042037954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C22E-4DC7-AC7D-A8C87411D39F}"/>
            </c:ext>
          </c:extLst>
        </c:ser>
        <c:dLbls>
          <c:showLegendKey val="0"/>
          <c:showVal val="0"/>
          <c:showCatName val="0"/>
          <c:showSerName val="0"/>
          <c:showPercent val="0"/>
          <c:showBubbleSize val="0"/>
        </c:dLbls>
        <c:axId val="1789362016"/>
        <c:axId val="1789345696"/>
      </c:areaChart>
      <c:catAx>
        <c:axId val="1789362016"/>
        <c:scaling>
          <c:orientation val="minMax"/>
        </c:scaling>
        <c:delete val="1"/>
        <c:axPos val="b"/>
        <c:numFmt formatCode="General" sourceLinked="1"/>
        <c:majorTickMark val="out"/>
        <c:minorTickMark val="none"/>
        <c:tickLblPos val="nextTo"/>
        <c:crossAx val="1789345696"/>
        <c:crosses val="autoZero"/>
        <c:auto val="1"/>
        <c:lblAlgn val="ctr"/>
        <c:lblOffset val="100"/>
        <c:noMultiLvlLbl val="0"/>
      </c:catAx>
      <c:valAx>
        <c:axId val="1789345696"/>
        <c:scaling>
          <c:orientation val="minMax"/>
        </c:scaling>
        <c:delete val="1"/>
        <c:axPos val="l"/>
        <c:numFmt formatCode="General" sourceLinked="1"/>
        <c:majorTickMark val="none"/>
        <c:minorTickMark val="none"/>
        <c:tickLblPos val="nextTo"/>
        <c:crossAx val="1789362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07526988831046E-4"/>
          <c:y val="8.4447741815821247E-3"/>
          <c:w val="0.93888888888888888"/>
          <c:h val="0.9681393473940918"/>
        </c:manualLayout>
      </c:layout>
      <c:areaChart>
        <c:grouping val="standard"/>
        <c:varyColors val="0"/>
        <c:ser>
          <c:idx val="0"/>
          <c:order val="0"/>
          <c:tx>
            <c:strRef>
              <c:f>'Pivot Report'!$B$24</c:f>
              <c:strCache>
                <c:ptCount val="1"/>
                <c:pt idx="0">
                  <c:v>Total</c:v>
                </c:pt>
              </c:strCache>
            </c:strRef>
          </c:tx>
          <c:spPr>
            <a:solidFill>
              <a:schemeClr val="accent1"/>
            </a:solidFill>
            <a:ln w="25400">
              <a:noFill/>
            </a:ln>
            <a:effectLst/>
          </c:spPr>
          <c:cat>
            <c:strRef>
              <c:f>'Pivot Report'!$A$25:$A$56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Report'!$B$25:$B$56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7C18-4E62-98EC-C4C07EB6883C}"/>
            </c:ext>
          </c:extLst>
        </c:ser>
        <c:dLbls>
          <c:showLegendKey val="0"/>
          <c:showVal val="0"/>
          <c:showCatName val="0"/>
          <c:showSerName val="0"/>
          <c:showPercent val="0"/>
          <c:showBubbleSize val="0"/>
        </c:dLbls>
        <c:axId val="541116239"/>
        <c:axId val="541117679"/>
      </c:areaChart>
      <c:catAx>
        <c:axId val="541116239"/>
        <c:scaling>
          <c:orientation val="minMax"/>
        </c:scaling>
        <c:delete val="1"/>
        <c:axPos val="b"/>
        <c:numFmt formatCode="General" sourceLinked="1"/>
        <c:majorTickMark val="out"/>
        <c:minorTickMark val="none"/>
        <c:tickLblPos val="nextTo"/>
        <c:crossAx val="541117679"/>
        <c:crosses val="autoZero"/>
        <c:auto val="1"/>
        <c:lblAlgn val="ctr"/>
        <c:lblOffset val="100"/>
        <c:noMultiLvlLbl val="0"/>
      </c:catAx>
      <c:valAx>
        <c:axId val="541117679"/>
        <c:scaling>
          <c:orientation val="minMax"/>
        </c:scaling>
        <c:delete val="1"/>
        <c:axPos val="l"/>
        <c:numFmt formatCode="0.00" sourceLinked="1"/>
        <c:majorTickMark val="none"/>
        <c:minorTickMark val="none"/>
        <c:tickLblPos val="nextTo"/>
        <c:crossAx val="541116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Report!PivotTable6</c:name>
    <c:fmtId val="4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94774080691695E-2"/>
          <c:y val="6.3602174246966306E-2"/>
          <c:w val="0.95896810952726774"/>
          <c:h val="0.87305331067253999"/>
        </c:manualLayout>
      </c:layout>
      <c:areaChart>
        <c:grouping val="standard"/>
        <c:varyColors val="0"/>
        <c:ser>
          <c:idx val="0"/>
          <c:order val="0"/>
          <c:tx>
            <c:strRef>
              <c:f>'Pivot Report'!$I$47</c:f>
              <c:strCache>
                <c:ptCount val="1"/>
                <c:pt idx="0">
                  <c:v>Total</c:v>
                </c:pt>
              </c:strCache>
            </c:strRef>
          </c:tx>
          <c:spPr>
            <a:solidFill>
              <a:schemeClr val="accent1"/>
            </a:solidFill>
            <a:ln w="25400">
              <a:noFill/>
            </a:ln>
            <a:effectLst/>
          </c:spPr>
          <c:cat>
            <c:strRef>
              <c:f>'Pivot Report'!$H$48:$H$78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Report'!$I$48:$I$78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7159-4450-9F9E-7567FEC443F6}"/>
            </c:ext>
          </c:extLst>
        </c:ser>
        <c:dLbls>
          <c:showLegendKey val="0"/>
          <c:showVal val="0"/>
          <c:showCatName val="0"/>
          <c:showSerName val="0"/>
          <c:showPercent val="0"/>
          <c:showBubbleSize val="0"/>
        </c:dLbls>
        <c:axId val="780277295"/>
        <c:axId val="780279215"/>
      </c:areaChart>
      <c:catAx>
        <c:axId val="780277295"/>
        <c:scaling>
          <c:orientation val="minMax"/>
        </c:scaling>
        <c:delete val="1"/>
        <c:axPos val="b"/>
        <c:numFmt formatCode="General" sourceLinked="1"/>
        <c:majorTickMark val="out"/>
        <c:minorTickMark val="none"/>
        <c:tickLblPos val="nextTo"/>
        <c:crossAx val="780279215"/>
        <c:crosses val="autoZero"/>
        <c:auto val="1"/>
        <c:lblAlgn val="ctr"/>
        <c:lblOffset val="100"/>
        <c:noMultiLvlLbl val="0"/>
      </c:catAx>
      <c:valAx>
        <c:axId val="780279215"/>
        <c:scaling>
          <c:orientation val="minMax"/>
        </c:scaling>
        <c:delete val="1"/>
        <c:axPos val="l"/>
        <c:numFmt formatCode="0.00" sourceLinked="1"/>
        <c:majorTickMark val="none"/>
        <c:minorTickMark val="none"/>
        <c:tickLblPos val="nextTo"/>
        <c:crossAx val="780277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Report'!$W$7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Report'!$V$8:$V$16</c:f>
              <c:strCache>
                <c:ptCount val="8"/>
                <c:pt idx="0">
                  <c:v>0-09</c:v>
                </c:pt>
                <c:pt idx="1">
                  <c:v>10-19</c:v>
                </c:pt>
                <c:pt idx="2">
                  <c:v>20-29</c:v>
                </c:pt>
                <c:pt idx="3">
                  <c:v>30-39</c:v>
                </c:pt>
                <c:pt idx="4">
                  <c:v>40-49</c:v>
                </c:pt>
                <c:pt idx="5">
                  <c:v>50-59</c:v>
                </c:pt>
                <c:pt idx="6">
                  <c:v>60-69</c:v>
                </c:pt>
                <c:pt idx="7">
                  <c:v>70-79</c:v>
                </c:pt>
              </c:strCache>
            </c:strRef>
          </c:cat>
          <c:val>
            <c:numRef>
              <c:f>'Pivot Report'!$W$8:$W$16</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3-8BD8-40AC-B2F8-97C8451C6CDF}"/>
            </c:ext>
          </c:extLst>
        </c:ser>
        <c:dLbls>
          <c:dLblPos val="outEnd"/>
          <c:showLegendKey val="0"/>
          <c:showVal val="1"/>
          <c:showCatName val="0"/>
          <c:showSerName val="0"/>
          <c:showPercent val="0"/>
          <c:showBubbleSize val="0"/>
        </c:dLbls>
        <c:gapWidth val="219"/>
        <c:overlap val="-27"/>
        <c:axId val="656514703"/>
        <c:axId val="656510383"/>
      </c:barChart>
      <c:catAx>
        <c:axId val="6565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6510383"/>
        <c:crosses val="autoZero"/>
        <c:auto val="1"/>
        <c:lblAlgn val="ctr"/>
        <c:lblOffset val="100"/>
        <c:noMultiLvlLbl val="0"/>
      </c:catAx>
      <c:valAx>
        <c:axId val="656510383"/>
        <c:scaling>
          <c:orientation val="minMax"/>
        </c:scaling>
        <c:delete val="1"/>
        <c:axPos val="l"/>
        <c:numFmt formatCode="0" sourceLinked="1"/>
        <c:majorTickMark val="none"/>
        <c:minorTickMark val="none"/>
        <c:tickLblPos val="nextTo"/>
        <c:crossAx val="6565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13847939703720333"/>
          <c:y val="0.13085619809436433"/>
          <c:w val="0.73304386154633783"/>
          <c:h val="0.85296087107492247"/>
        </c:manualLayout>
      </c:layout>
      <c:pieChart>
        <c:varyColors val="1"/>
        <c:ser>
          <c:idx val="0"/>
          <c:order val="0"/>
          <c:tx>
            <c:strRef>
              <c:f>'Pivot Report'!$AF$7</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Report'!$AE$8:$AE$10</c:f>
              <c:strCache>
                <c:ptCount val="2"/>
                <c:pt idx="0">
                  <c:v>Delay</c:v>
                </c:pt>
                <c:pt idx="1">
                  <c:v>Ontime</c:v>
                </c:pt>
              </c:strCache>
            </c:strRef>
          </c:cat>
          <c:val>
            <c:numRef>
              <c:f>'Pivot Report'!$AF$8:$AF$10</c:f>
              <c:numCache>
                <c:formatCode>0</c:formatCode>
                <c:ptCount val="2"/>
                <c:pt idx="0">
                  <c:v>267</c:v>
                </c:pt>
                <c:pt idx="1">
                  <c:v>213</c:v>
                </c:pt>
              </c:numCache>
            </c:numRef>
          </c:val>
          <c:extLst>
            <c:ext xmlns:c16="http://schemas.microsoft.com/office/drawing/2014/chart" uri="{C3380CC4-5D6E-409C-BE32-E72D297353CC}">
              <c16:uniqueId val="{00000007-9C80-4EEE-B864-49ED6BE5280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5443609349647544E-2"/>
          <c:y val="3.8325674810046076E-2"/>
          <c:w val="0.87258824463468787"/>
          <c:h val="8.7743341265517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Report!PivotTable10</c:name>
    <c:fmtId val="23"/>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2798793421982985"/>
          <c:y val="0.12842916948630773"/>
          <c:w val="0.62201833816116603"/>
          <c:h val="0.73966994264883978"/>
        </c:manualLayout>
      </c:layout>
      <c:doughnutChart>
        <c:varyColors val="1"/>
        <c:ser>
          <c:idx val="0"/>
          <c:order val="0"/>
          <c:tx>
            <c:strRef>
              <c:f>'Pivot Report'!$AO$7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Report'!$AN$8:$AN$10</c:f>
              <c:strCache>
                <c:ptCount val="2"/>
                <c:pt idx="0">
                  <c:v>Female</c:v>
                </c:pt>
                <c:pt idx="1">
                  <c:v>Male</c:v>
                </c:pt>
              </c:strCache>
            </c:strRef>
          </c:cat>
          <c:val>
            <c:numRef>
              <c:f>'Pivot Report'!$AO$8:$AO$10</c:f>
              <c:numCache>
                <c:formatCode>0</c:formatCode>
                <c:ptCount val="2"/>
                <c:pt idx="0">
                  <c:v>261</c:v>
                </c:pt>
                <c:pt idx="1">
                  <c:v>219</c:v>
                </c:pt>
              </c:numCache>
            </c:numRef>
          </c:val>
          <c:extLst>
            <c:ext xmlns:c16="http://schemas.microsoft.com/office/drawing/2014/chart" uri="{C3380CC4-5D6E-409C-BE32-E72D297353CC}">
              <c16:uniqueId val="{0000000D-8951-4824-90E6-65F13D83CF06}"/>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1.7842738407699038E-2"/>
          <c:y val="2.0335010207057455E-2"/>
          <c:w val="0.71941785154732951"/>
          <c:h val="0.12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Report'!$AW$9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Report'!$AV$10:$AV$18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Report'!$AW$10:$AW$18</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460E-4106-B1EF-AC39647C5435}"/>
            </c:ext>
          </c:extLst>
        </c:ser>
        <c:dLbls>
          <c:dLblPos val="outEnd"/>
          <c:showLegendKey val="0"/>
          <c:showVal val="1"/>
          <c:showCatName val="0"/>
          <c:showSerName val="0"/>
          <c:showPercent val="0"/>
          <c:showBubbleSize val="0"/>
        </c:dLbls>
        <c:gapWidth val="182"/>
        <c:axId val="1681591775"/>
        <c:axId val="1681591295"/>
      </c:barChart>
      <c:catAx>
        <c:axId val="168159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91295"/>
        <c:crosses val="autoZero"/>
        <c:auto val="1"/>
        <c:lblAlgn val="ctr"/>
        <c:lblOffset val="100"/>
        <c:noMultiLvlLbl val="0"/>
      </c:catAx>
      <c:valAx>
        <c:axId val="1681591295"/>
        <c:scaling>
          <c:orientation val="minMax"/>
        </c:scaling>
        <c:delete val="1"/>
        <c:axPos val="b"/>
        <c:numFmt formatCode="0" sourceLinked="1"/>
        <c:majorTickMark val="none"/>
        <c:minorTickMark val="none"/>
        <c:tickLblPos val="nextTo"/>
        <c:crossAx val="168159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Report!PivotTable4</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1-22FD-414C-A639-0EDD321D8E3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9362016"/>
        <c:axId val="1789345696"/>
      </c:areaChart>
      <c:catAx>
        <c:axId val="17893620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9345696"/>
        <c:crosses val="autoZero"/>
        <c:auto val="1"/>
        <c:lblAlgn val="ctr"/>
        <c:lblOffset val="100"/>
        <c:noMultiLvlLbl val="0"/>
      </c:catAx>
      <c:valAx>
        <c:axId val="1789345696"/>
        <c:scaling>
          <c:orientation val="minMax"/>
        </c:scaling>
        <c:delete val="1"/>
        <c:axPos val="l"/>
        <c:numFmt formatCode="General" sourceLinked="1"/>
        <c:majorTickMark val="out"/>
        <c:minorTickMark val="none"/>
        <c:tickLblPos val="nextTo"/>
        <c:crossAx val="1789362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Report!PivotTable5</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Report'!$B$24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Report'!$A$25:$A$56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Report'!$B$25:$B$56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1-155E-4B11-80DD-2FC052BAF7E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41116239"/>
        <c:axId val="541117679"/>
      </c:areaChart>
      <c:catAx>
        <c:axId val="5411162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1117679"/>
        <c:crosses val="autoZero"/>
        <c:auto val="1"/>
        <c:lblAlgn val="ctr"/>
        <c:lblOffset val="100"/>
        <c:noMultiLvlLbl val="0"/>
      </c:catAx>
      <c:valAx>
        <c:axId val="541117679"/>
        <c:scaling>
          <c:orientation val="minMax"/>
        </c:scaling>
        <c:delete val="1"/>
        <c:axPos val="l"/>
        <c:numFmt formatCode="0.00" sourceLinked="1"/>
        <c:majorTickMark val="out"/>
        <c:minorTickMark val="none"/>
        <c:tickLblPos val="nextTo"/>
        <c:crossAx val="541116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[Pulse Emergency Dashboard.xlsx]Pivot Report!PivotTable6</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Report'!$H$48:$H$78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Report'!$I$48:$I$78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1-429F-4D29-8D48-97D6EA4935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0277295"/>
        <c:axId val="780279215"/>
      </c:areaChart>
      <c:catAx>
        <c:axId val="7802772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0279215"/>
        <c:crosses val="autoZero"/>
        <c:auto val="1"/>
        <c:lblAlgn val="ctr"/>
        <c:lblOffset val="100"/>
        <c:noMultiLvlLbl val="0"/>
      </c:catAx>
      <c:valAx>
        <c:axId val="780279215"/>
        <c:scaling>
          <c:orientation val="minMax"/>
        </c:scaling>
        <c:delete val="1"/>
        <c:axPos val="l"/>
        <c:numFmt formatCode="0.00" sourceLinked="1"/>
        <c:majorTickMark val="out"/>
        <c:minorTickMark val="none"/>
        <c:tickLblPos val="nextTo"/>
        <c:crossAx val="780277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svg"/><Relationship Id="rId15" Type="http://schemas.openxmlformats.org/officeDocument/2006/relationships/chart" Target="../charts/chart12.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28575</xdr:colOff>
      <xdr:row>6</xdr:row>
      <xdr:rowOff>19050</xdr:rowOff>
    </xdr:from>
    <xdr:to>
      <xdr:col>8</xdr:col>
      <xdr:colOff>561975</xdr:colOff>
      <xdr:row>20</xdr:row>
      <xdr:rowOff>80967</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0C76552A-286E-8963-107B-8DD4434CB07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895850" y="110490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23812</xdr:colOff>
      <xdr:row>21</xdr:row>
      <xdr:rowOff>0</xdr:rowOff>
    </xdr:from>
    <xdr:to>
      <xdr:col>13</xdr:col>
      <xdr:colOff>61912</xdr:colOff>
      <xdr:row>36</xdr:row>
      <xdr:rowOff>28575</xdr:rowOff>
    </xdr:to>
    <xdr:graphicFrame macro="">
      <xdr:nvGraphicFramePr>
        <xdr:cNvPr id="6" name="Chart 5">
          <a:extLst>
            <a:ext uri="{FF2B5EF4-FFF2-40B4-BE49-F238E27FC236}">
              <a16:creationId xmlns:a16="http://schemas.microsoft.com/office/drawing/2014/main" id="{9405FEB6-0951-311B-C0E1-76593D20A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50006</xdr:colOff>
      <xdr:row>55</xdr:row>
      <xdr:rowOff>61913</xdr:rowOff>
    </xdr:from>
    <xdr:to>
      <xdr:col>4</xdr:col>
      <xdr:colOff>531018</xdr:colOff>
      <xdr:row>70</xdr:row>
      <xdr:rowOff>90488</xdr:rowOff>
    </xdr:to>
    <xdr:graphicFrame macro="">
      <xdr:nvGraphicFramePr>
        <xdr:cNvPr id="4" name="Chart 3">
          <a:extLst>
            <a:ext uri="{FF2B5EF4-FFF2-40B4-BE49-F238E27FC236}">
              <a16:creationId xmlns:a16="http://schemas.microsoft.com/office/drawing/2014/main" id="{57AEFEA0-D77F-F7BB-78C1-326BCAD3C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11905</xdr:colOff>
      <xdr:row>79</xdr:row>
      <xdr:rowOff>4762</xdr:rowOff>
    </xdr:from>
    <xdr:to>
      <xdr:col>14</xdr:col>
      <xdr:colOff>50005</xdr:colOff>
      <xdr:row>94</xdr:row>
      <xdr:rowOff>33337</xdr:rowOff>
    </xdr:to>
    <xdr:graphicFrame macro="">
      <xdr:nvGraphicFramePr>
        <xdr:cNvPr id="5" name="Chart 4">
          <a:extLst>
            <a:ext uri="{FF2B5EF4-FFF2-40B4-BE49-F238E27FC236}">
              <a16:creationId xmlns:a16="http://schemas.microsoft.com/office/drawing/2014/main" id="{9BAEF733-EEB7-E0B1-472C-115D7128A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1147765</xdr:colOff>
      <xdr:row>10</xdr:row>
      <xdr:rowOff>166688</xdr:rowOff>
    </xdr:from>
    <xdr:to>
      <xdr:col>19</xdr:col>
      <xdr:colOff>285750</xdr:colOff>
      <xdr:row>14</xdr:row>
      <xdr:rowOff>166688</xdr:rowOff>
    </xdr:to>
    <xdr:graphicFrame macro="">
      <xdr:nvGraphicFramePr>
        <xdr:cNvPr id="3" name="Chart 2">
          <a:extLst>
            <a:ext uri="{FF2B5EF4-FFF2-40B4-BE49-F238E27FC236}">
              <a16:creationId xmlns:a16="http://schemas.microsoft.com/office/drawing/2014/main" id="{4729A53E-7FBB-2B34-FE2E-D6F1A9638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7143</xdr:colOff>
      <xdr:row>16</xdr:row>
      <xdr:rowOff>66675</xdr:rowOff>
    </xdr:from>
    <xdr:to>
      <xdr:col>28</xdr:col>
      <xdr:colOff>45243</xdr:colOff>
      <xdr:row>31</xdr:row>
      <xdr:rowOff>95250</xdr:rowOff>
    </xdr:to>
    <xdr:graphicFrame macro="">
      <xdr:nvGraphicFramePr>
        <xdr:cNvPr id="18" name="Chart 17">
          <a:extLst>
            <a:ext uri="{FF2B5EF4-FFF2-40B4-BE49-F238E27FC236}">
              <a16:creationId xmlns:a16="http://schemas.microsoft.com/office/drawing/2014/main" id="{19B2A4CA-98A8-BD2B-500B-1D8D58664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16667</xdr:colOff>
      <xdr:row>10</xdr:row>
      <xdr:rowOff>28575</xdr:rowOff>
    </xdr:from>
    <xdr:to>
      <xdr:col>36</xdr:col>
      <xdr:colOff>116680</xdr:colOff>
      <xdr:row>25</xdr:row>
      <xdr:rowOff>57150</xdr:rowOff>
    </xdr:to>
    <xdr:graphicFrame macro="">
      <xdr:nvGraphicFramePr>
        <xdr:cNvPr id="19" name="Chart 18">
          <a:extLst>
            <a:ext uri="{FF2B5EF4-FFF2-40B4-BE49-F238E27FC236}">
              <a16:creationId xmlns:a16="http://schemas.microsoft.com/office/drawing/2014/main" id="{7E237E90-C11C-976E-A548-AF3495BEC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416718</xdr:colOff>
      <xdr:row>9</xdr:row>
      <xdr:rowOff>14287</xdr:rowOff>
    </xdr:from>
    <xdr:to>
      <xdr:col>44</xdr:col>
      <xdr:colOff>454818</xdr:colOff>
      <xdr:row>24</xdr:row>
      <xdr:rowOff>42862</xdr:rowOff>
    </xdr:to>
    <xdr:graphicFrame macro="">
      <xdr:nvGraphicFramePr>
        <xdr:cNvPr id="22" name="Chart 21">
          <a:extLst>
            <a:ext uri="{FF2B5EF4-FFF2-40B4-BE49-F238E27FC236}">
              <a16:creationId xmlns:a16="http://schemas.microsoft.com/office/drawing/2014/main" id="{DF57A9A9-F4DA-6D95-731F-D7DED709D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16667</xdr:colOff>
      <xdr:row>17</xdr:row>
      <xdr:rowOff>176212</xdr:rowOff>
    </xdr:from>
    <xdr:to>
      <xdr:col>53</xdr:col>
      <xdr:colOff>50004</xdr:colOff>
      <xdr:row>33</xdr:row>
      <xdr:rowOff>23812</xdr:rowOff>
    </xdr:to>
    <xdr:graphicFrame macro="">
      <xdr:nvGraphicFramePr>
        <xdr:cNvPr id="23" name="Chart 22">
          <a:extLst>
            <a:ext uri="{FF2B5EF4-FFF2-40B4-BE49-F238E27FC236}">
              <a16:creationId xmlns:a16="http://schemas.microsoft.com/office/drawing/2014/main" id="{4B07C86C-AAF5-EEE7-0257-A97E8C7E4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56</xdr:col>
      <xdr:colOff>85419</xdr:colOff>
      <xdr:row>13</xdr:row>
      <xdr:rowOff>107510</xdr:rowOff>
    </xdr:from>
    <xdr:to>
      <xdr:col>58</xdr:col>
      <xdr:colOff>617198</xdr:colOff>
      <xdr:row>19</xdr:row>
      <xdr:rowOff>121595</xdr:rowOff>
    </xdr:to>
    <mc:AlternateContent xmlns:mc="http://schemas.openxmlformats.org/markup-compatibility/2006">
      <mc:Choice xmlns:a14="http://schemas.microsoft.com/office/drawing/2010/main" Requires="a14">
        <xdr:graphicFrame macro="">
          <xdr:nvGraphicFramePr>
            <xdr:cNvPr id="25" name="Date (Year)">
              <a:extLst>
                <a:ext uri="{FF2B5EF4-FFF2-40B4-BE49-F238E27FC236}">
                  <a16:creationId xmlns:a16="http://schemas.microsoft.com/office/drawing/2014/main" id="{C365D9C0-A34E-6767-2A4C-8B2827C9EDC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0668000" y="2478627"/>
              <a:ext cx="1828800" cy="1108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69113</xdr:colOff>
      <xdr:row>0</xdr:row>
      <xdr:rowOff>61164</xdr:rowOff>
    </xdr:from>
    <xdr:to>
      <xdr:col>5</xdr:col>
      <xdr:colOff>134385</xdr:colOff>
      <xdr:row>3</xdr:row>
      <xdr:rowOff>34036</xdr:rowOff>
    </xdr:to>
    <xdr:sp macro="" textlink="">
      <xdr:nvSpPr>
        <xdr:cNvPr id="2" name="Rectangle: Rounded Corners 1">
          <a:extLst>
            <a:ext uri="{FF2B5EF4-FFF2-40B4-BE49-F238E27FC236}">
              <a16:creationId xmlns:a16="http://schemas.microsoft.com/office/drawing/2014/main" id="{E650FBC6-DC59-B97F-3999-04CC92DA1486}"/>
            </a:ext>
          </a:extLst>
        </xdr:cNvPr>
        <xdr:cNvSpPr/>
      </xdr:nvSpPr>
      <xdr:spPr>
        <a:xfrm>
          <a:off x="69113" y="61164"/>
          <a:ext cx="3306418" cy="518575"/>
        </a:xfrm>
        <a:prstGeom prst="roundRect">
          <a:avLst>
            <a:gd name="adj" fmla="val 1800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189896</xdr:colOff>
      <xdr:row>0</xdr:row>
      <xdr:rowOff>60285</xdr:rowOff>
    </xdr:from>
    <xdr:to>
      <xdr:col>7</xdr:col>
      <xdr:colOff>298410</xdr:colOff>
      <xdr:row>3</xdr:row>
      <xdr:rowOff>54257</xdr:rowOff>
    </xdr:to>
    <xdr:sp macro="" textlink="">
      <xdr:nvSpPr>
        <xdr:cNvPr id="3" name="Rectangle: Rounded Corners 2">
          <a:extLst>
            <a:ext uri="{FF2B5EF4-FFF2-40B4-BE49-F238E27FC236}">
              <a16:creationId xmlns:a16="http://schemas.microsoft.com/office/drawing/2014/main" id="{3266C284-EE07-4F42-82DF-E6BD71D36290}"/>
            </a:ext>
          </a:extLst>
        </xdr:cNvPr>
        <xdr:cNvSpPr/>
      </xdr:nvSpPr>
      <xdr:spPr>
        <a:xfrm>
          <a:off x="3430205" y="60285"/>
          <a:ext cx="1404637" cy="536535"/>
        </a:xfrm>
        <a:prstGeom prst="roundRect">
          <a:avLst>
            <a:gd name="adj" fmla="val 1800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352011</xdr:colOff>
      <xdr:row>0</xdr:row>
      <xdr:rowOff>57978</xdr:rowOff>
    </xdr:from>
    <xdr:to>
      <xdr:col>10</xdr:col>
      <xdr:colOff>238124</xdr:colOff>
      <xdr:row>9</xdr:row>
      <xdr:rowOff>16565</xdr:rowOff>
    </xdr:to>
    <xdr:sp macro="" textlink="">
      <xdr:nvSpPr>
        <xdr:cNvPr id="4" name="Rectangle: Rounded Corners 3">
          <a:extLst>
            <a:ext uri="{FF2B5EF4-FFF2-40B4-BE49-F238E27FC236}">
              <a16:creationId xmlns:a16="http://schemas.microsoft.com/office/drawing/2014/main" id="{C1D61335-EE9E-497D-AEDA-56DC1EC326D1}"/>
            </a:ext>
          </a:extLst>
        </xdr:cNvPr>
        <xdr:cNvSpPr/>
      </xdr:nvSpPr>
      <xdr:spPr>
        <a:xfrm>
          <a:off x="4874315" y="57978"/>
          <a:ext cx="1824244" cy="1598544"/>
        </a:xfrm>
        <a:prstGeom prst="roundRect">
          <a:avLst>
            <a:gd name="adj" fmla="val 59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49269</xdr:colOff>
      <xdr:row>3</xdr:row>
      <xdr:rowOff>105500</xdr:rowOff>
    </xdr:from>
    <xdr:to>
      <xdr:col>1</xdr:col>
      <xdr:colOff>301424</xdr:colOff>
      <xdr:row>20</xdr:row>
      <xdr:rowOff>165652</xdr:rowOff>
    </xdr:to>
    <xdr:sp macro="" textlink="">
      <xdr:nvSpPr>
        <xdr:cNvPr id="6" name="Rectangle: Rounded Corners 5">
          <a:extLst>
            <a:ext uri="{FF2B5EF4-FFF2-40B4-BE49-F238E27FC236}">
              <a16:creationId xmlns:a16="http://schemas.microsoft.com/office/drawing/2014/main" id="{EABB3017-D0C0-3F31-2209-81015FCB139A}"/>
            </a:ext>
          </a:extLst>
        </xdr:cNvPr>
        <xdr:cNvSpPr/>
      </xdr:nvSpPr>
      <xdr:spPr>
        <a:xfrm>
          <a:off x="49269" y="652152"/>
          <a:ext cx="898198" cy="3157848"/>
        </a:xfrm>
        <a:prstGeom prst="roundRect">
          <a:avLst>
            <a:gd name="adj" fmla="val 832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392891</xdr:colOff>
      <xdr:row>3</xdr:row>
      <xdr:rowOff>120570</xdr:rowOff>
    </xdr:from>
    <xdr:to>
      <xdr:col>3</xdr:col>
      <xdr:colOff>299022</xdr:colOff>
      <xdr:row>9</xdr:row>
      <xdr:rowOff>16143</xdr:rowOff>
    </xdr:to>
    <xdr:sp macro="" textlink="">
      <xdr:nvSpPr>
        <xdr:cNvPr id="7" name="Rectangle: Rounded Corners 6">
          <a:extLst>
            <a:ext uri="{FF2B5EF4-FFF2-40B4-BE49-F238E27FC236}">
              <a16:creationId xmlns:a16="http://schemas.microsoft.com/office/drawing/2014/main" id="{63C5ED1E-E50F-0EF4-CCFF-5EA7BE741479}"/>
            </a:ext>
          </a:extLst>
        </xdr:cNvPr>
        <xdr:cNvSpPr/>
      </xdr:nvSpPr>
      <xdr:spPr>
        <a:xfrm>
          <a:off x="1041324" y="659099"/>
          <a:ext cx="1202996" cy="972631"/>
        </a:xfrm>
        <a:prstGeom prst="roundRect">
          <a:avLst>
            <a:gd name="adj" fmla="val 490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388677</xdr:colOff>
      <xdr:row>3</xdr:row>
      <xdr:rowOff>120570</xdr:rowOff>
    </xdr:from>
    <xdr:to>
      <xdr:col>5</xdr:col>
      <xdr:colOff>294807</xdr:colOff>
      <xdr:row>9</xdr:row>
      <xdr:rowOff>16143</xdr:rowOff>
    </xdr:to>
    <xdr:sp macro="" textlink="">
      <xdr:nvSpPr>
        <xdr:cNvPr id="11" name="Rectangle: Rounded Corners 10">
          <a:extLst>
            <a:ext uri="{FF2B5EF4-FFF2-40B4-BE49-F238E27FC236}">
              <a16:creationId xmlns:a16="http://schemas.microsoft.com/office/drawing/2014/main" id="{8F864F13-529F-3F98-D662-A6E6BE4A4A17}"/>
            </a:ext>
          </a:extLst>
        </xdr:cNvPr>
        <xdr:cNvSpPr/>
      </xdr:nvSpPr>
      <xdr:spPr>
        <a:xfrm>
          <a:off x="2331777" y="663495"/>
          <a:ext cx="1201530" cy="981423"/>
        </a:xfrm>
        <a:prstGeom prst="roundRect">
          <a:avLst>
            <a:gd name="adj" fmla="val 539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384461</xdr:colOff>
      <xdr:row>3</xdr:row>
      <xdr:rowOff>120570</xdr:rowOff>
    </xdr:from>
    <xdr:to>
      <xdr:col>7</xdr:col>
      <xdr:colOff>290592</xdr:colOff>
      <xdr:row>9</xdr:row>
      <xdr:rowOff>16143</xdr:rowOff>
    </xdr:to>
    <xdr:sp macro="" textlink="">
      <xdr:nvSpPr>
        <xdr:cNvPr id="12" name="Rectangle: Rounded Corners 11">
          <a:extLst>
            <a:ext uri="{FF2B5EF4-FFF2-40B4-BE49-F238E27FC236}">
              <a16:creationId xmlns:a16="http://schemas.microsoft.com/office/drawing/2014/main" id="{4545A898-3DB9-738C-8FE4-9CF41E2CFCDA}"/>
            </a:ext>
          </a:extLst>
        </xdr:cNvPr>
        <xdr:cNvSpPr/>
      </xdr:nvSpPr>
      <xdr:spPr>
        <a:xfrm>
          <a:off x="3622961" y="663495"/>
          <a:ext cx="1201531" cy="981423"/>
        </a:xfrm>
        <a:prstGeom prst="roundRect">
          <a:avLst>
            <a:gd name="adj" fmla="val 3936"/>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401489</xdr:colOff>
      <xdr:row>13</xdr:row>
      <xdr:rowOff>66838</xdr:rowOff>
    </xdr:from>
    <xdr:to>
      <xdr:col>7</xdr:col>
      <xdr:colOff>310599</xdr:colOff>
      <xdr:row>21</xdr:row>
      <xdr:rowOff>16564</xdr:rowOff>
    </xdr:to>
    <xdr:sp macro="" textlink="">
      <xdr:nvSpPr>
        <xdr:cNvPr id="14" name="Rectangle: Rounded Corners 13">
          <a:extLst>
            <a:ext uri="{FF2B5EF4-FFF2-40B4-BE49-F238E27FC236}">
              <a16:creationId xmlns:a16="http://schemas.microsoft.com/office/drawing/2014/main" id="{8F05BF05-7D50-6278-25FC-66DDBDC369CF}"/>
            </a:ext>
          </a:extLst>
        </xdr:cNvPr>
        <xdr:cNvSpPr/>
      </xdr:nvSpPr>
      <xdr:spPr>
        <a:xfrm>
          <a:off x="1047532" y="2435664"/>
          <a:ext cx="3785371" cy="1407465"/>
        </a:xfrm>
        <a:prstGeom prst="roundRect">
          <a:avLst>
            <a:gd name="adj" fmla="val 490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339587</xdr:colOff>
      <xdr:row>9</xdr:row>
      <xdr:rowOff>70402</xdr:rowOff>
    </xdr:from>
    <xdr:to>
      <xdr:col>13</xdr:col>
      <xdr:colOff>152760</xdr:colOff>
      <xdr:row>21</xdr:row>
      <xdr:rowOff>16565</xdr:rowOff>
    </xdr:to>
    <xdr:sp macro="" textlink="">
      <xdr:nvSpPr>
        <xdr:cNvPr id="21" name="Rectangle: Rounded Corners 20">
          <a:extLst>
            <a:ext uri="{FF2B5EF4-FFF2-40B4-BE49-F238E27FC236}">
              <a16:creationId xmlns:a16="http://schemas.microsoft.com/office/drawing/2014/main" id="{4BDBA896-6877-5FB0-0A4F-F50B485491C7}"/>
            </a:ext>
          </a:extLst>
        </xdr:cNvPr>
        <xdr:cNvSpPr/>
      </xdr:nvSpPr>
      <xdr:spPr>
        <a:xfrm>
          <a:off x="4861891" y="1710359"/>
          <a:ext cx="3689434" cy="2132771"/>
        </a:xfrm>
        <a:prstGeom prst="roundRect">
          <a:avLst>
            <a:gd name="adj" fmla="val 243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115755</xdr:colOff>
      <xdr:row>0</xdr:row>
      <xdr:rowOff>46302</xdr:rowOff>
    </xdr:from>
    <xdr:to>
      <xdr:col>5</xdr:col>
      <xdr:colOff>42994</xdr:colOff>
      <xdr:row>2</xdr:row>
      <xdr:rowOff>52917</xdr:rowOff>
    </xdr:to>
    <xdr:sp macro="" textlink="">
      <xdr:nvSpPr>
        <xdr:cNvPr id="22" name="TextBox 21">
          <a:extLst>
            <a:ext uri="{FF2B5EF4-FFF2-40B4-BE49-F238E27FC236}">
              <a16:creationId xmlns:a16="http://schemas.microsoft.com/office/drawing/2014/main" id="{E5D52312-CBD9-DC31-DFCA-69E65590D564}"/>
            </a:ext>
          </a:extLst>
        </xdr:cNvPr>
        <xdr:cNvSpPr txBox="1"/>
      </xdr:nvSpPr>
      <xdr:spPr>
        <a:xfrm>
          <a:off x="763984" y="46302"/>
          <a:ext cx="2520156"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rial Rounded MT Bold" panose="020F0704030504030204" pitchFamily="34" charset="0"/>
            </a:rPr>
            <a:t>Pulse Emergency Room Analytics</a:t>
          </a:r>
        </a:p>
      </xdr:txBody>
    </xdr:sp>
    <xdr:clientData/>
  </xdr:twoCellAnchor>
  <xdr:twoCellAnchor editAs="oneCell">
    <xdr:from>
      <xdr:col>0</xdr:col>
      <xdr:colOff>171979</xdr:colOff>
      <xdr:row>0</xdr:row>
      <xdr:rowOff>0</xdr:rowOff>
    </xdr:from>
    <xdr:to>
      <xdr:col>1</xdr:col>
      <xdr:colOff>102525</xdr:colOff>
      <xdr:row>3</xdr:row>
      <xdr:rowOff>81555</xdr:rowOff>
    </xdr:to>
    <xdr:pic>
      <xdr:nvPicPr>
        <xdr:cNvPr id="24" name="Picture 23">
          <a:extLst>
            <a:ext uri="{FF2B5EF4-FFF2-40B4-BE49-F238E27FC236}">
              <a16:creationId xmlns:a16="http://schemas.microsoft.com/office/drawing/2014/main" id="{CDA21E73-5B9B-C56E-CF19-687417011B3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389" r="18654"/>
        <a:stretch>
          <a:fillRect/>
        </a:stretch>
      </xdr:blipFill>
      <xdr:spPr>
        <a:xfrm>
          <a:off x="171979" y="0"/>
          <a:ext cx="578775" cy="627258"/>
        </a:xfrm>
        <a:prstGeom prst="rect">
          <a:avLst/>
        </a:prstGeom>
      </xdr:spPr>
    </xdr:pic>
    <xdr:clientData/>
  </xdr:twoCellAnchor>
  <xdr:twoCellAnchor editAs="absolute">
    <xdr:from>
      <xdr:col>2</xdr:col>
      <xdr:colOff>86254</xdr:colOff>
      <xdr:row>1</xdr:row>
      <xdr:rowOff>142479</xdr:rowOff>
    </xdr:from>
    <xdr:to>
      <xdr:col>3</xdr:col>
      <xdr:colOff>535781</xdr:colOff>
      <xdr:row>3</xdr:row>
      <xdr:rowOff>1</xdr:rowOff>
    </xdr:to>
    <xdr:sp macro="" textlink="">
      <xdr:nvSpPr>
        <xdr:cNvPr id="25" name="TextBox 24">
          <a:extLst>
            <a:ext uri="{FF2B5EF4-FFF2-40B4-BE49-F238E27FC236}">
              <a16:creationId xmlns:a16="http://schemas.microsoft.com/office/drawing/2014/main" id="{930840CF-00D1-F8D9-55E5-C342B72B8FA4}"/>
            </a:ext>
          </a:extLst>
        </xdr:cNvPr>
        <xdr:cNvSpPr txBox="1"/>
      </xdr:nvSpPr>
      <xdr:spPr>
        <a:xfrm>
          <a:off x="1382712" y="324380"/>
          <a:ext cx="1097757"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rial Rounded MT Bold" panose="020F0704030504030204" pitchFamily="34" charset="0"/>
            </a:rPr>
            <a:t>Monthly</a:t>
          </a:r>
          <a:r>
            <a:rPr lang="en-IN" sz="900" b="1" baseline="0">
              <a:latin typeface="Arial Rounded MT Bold" panose="020F0704030504030204" pitchFamily="34" charset="0"/>
            </a:rPr>
            <a:t> Report</a:t>
          </a:r>
          <a:endParaRPr lang="en-IN" sz="900" b="1">
            <a:latin typeface="Arial Rounded MT Bold" panose="020F0704030504030204" pitchFamily="34" charset="0"/>
          </a:endParaRPr>
        </a:p>
      </xdr:txBody>
    </xdr:sp>
    <xdr:clientData/>
  </xdr:twoCellAnchor>
  <xdr:twoCellAnchor editAs="absolute">
    <xdr:from>
      <xdr:col>1</xdr:col>
      <xdr:colOff>390790</xdr:colOff>
      <xdr:row>5</xdr:row>
      <xdr:rowOff>26987</xdr:rowOff>
    </xdr:from>
    <xdr:to>
      <xdr:col>3</xdr:col>
      <xdr:colOff>297657</xdr:colOff>
      <xdr:row>6</xdr:row>
      <xdr:rowOff>66411</xdr:rowOff>
    </xdr:to>
    <xdr:sp macro="" textlink="">
      <xdr:nvSpPr>
        <xdr:cNvPr id="26" name="TextBox 25">
          <a:extLst>
            <a:ext uri="{FF2B5EF4-FFF2-40B4-BE49-F238E27FC236}">
              <a16:creationId xmlns:a16="http://schemas.microsoft.com/office/drawing/2014/main" id="{7A2B124F-6D24-1DCD-34F5-62C1FF5239C9}"/>
            </a:ext>
          </a:extLst>
        </xdr:cNvPr>
        <xdr:cNvSpPr txBox="1"/>
      </xdr:nvSpPr>
      <xdr:spPr>
        <a:xfrm>
          <a:off x="1039019" y="936493"/>
          <a:ext cx="1203326"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latin typeface="Arial Rounded MT Bold" panose="020F0704030504030204" pitchFamily="34" charset="0"/>
            </a:rPr>
            <a:t>No.</a:t>
          </a:r>
          <a:r>
            <a:rPr lang="en-IN" sz="900" b="0" baseline="0">
              <a:latin typeface="Arial Rounded MT Bold" panose="020F0704030504030204" pitchFamily="34" charset="0"/>
            </a:rPr>
            <a:t> of Patients</a:t>
          </a:r>
          <a:endParaRPr lang="en-IN" sz="900" b="0">
            <a:latin typeface="Arial Rounded MT Bold" panose="020F0704030504030204" pitchFamily="34" charset="0"/>
          </a:endParaRPr>
        </a:p>
      </xdr:txBody>
    </xdr:sp>
    <xdr:clientData/>
  </xdr:twoCellAnchor>
  <xdr:twoCellAnchor editAs="absolute">
    <xdr:from>
      <xdr:col>1</xdr:col>
      <xdr:colOff>381132</xdr:colOff>
      <xdr:row>3</xdr:row>
      <xdr:rowOff>172773</xdr:rowOff>
    </xdr:from>
    <xdr:to>
      <xdr:col>3</xdr:col>
      <xdr:colOff>287999</xdr:colOff>
      <xdr:row>5</xdr:row>
      <xdr:rowOff>30294</xdr:rowOff>
    </xdr:to>
    <xdr:sp macro="" textlink="'Pivot Report'!A6">
      <xdr:nvSpPr>
        <xdr:cNvPr id="27" name="TextBox 26">
          <a:extLst>
            <a:ext uri="{FF2B5EF4-FFF2-40B4-BE49-F238E27FC236}">
              <a16:creationId xmlns:a16="http://schemas.microsoft.com/office/drawing/2014/main" id="{490D7140-1FF3-7AAF-8CDE-6930914ACF22}"/>
            </a:ext>
          </a:extLst>
        </xdr:cNvPr>
        <xdr:cNvSpPr txBox="1"/>
      </xdr:nvSpPr>
      <xdr:spPr>
        <a:xfrm>
          <a:off x="1029361" y="718476"/>
          <a:ext cx="1203326"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B3FD845-9BDE-48BD-BD15-71A471DE5A85}" type="TxLink">
            <a:rPr lang="en-US" sz="1100" b="0" i="0" u="none" strike="noStrike">
              <a:solidFill>
                <a:srgbClr val="000000"/>
              </a:solidFill>
              <a:latin typeface="Aptos Narrow"/>
            </a:rPr>
            <a:pPr algn="ctr"/>
            <a:t>480</a:t>
          </a:fld>
          <a:endParaRPr lang="en-IN" sz="900" b="1">
            <a:latin typeface="Arial Rounded MT Bold" panose="020F0704030504030204" pitchFamily="34" charset="0"/>
          </a:endParaRPr>
        </a:p>
      </xdr:txBody>
    </xdr:sp>
    <xdr:clientData/>
  </xdr:twoCellAnchor>
  <xdr:twoCellAnchor editAs="absolute">
    <xdr:from>
      <xdr:col>3</xdr:col>
      <xdr:colOff>387482</xdr:colOff>
      <xdr:row>5</xdr:row>
      <xdr:rowOff>26987</xdr:rowOff>
    </xdr:from>
    <xdr:to>
      <xdr:col>5</xdr:col>
      <xdr:colOff>294350</xdr:colOff>
      <xdr:row>6</xdr:row>
      <xdr:rowOff>66411</xdr:rowOff>
    </xdr:to>
    <xdr:sp macro="" textlink="">
      <xdr:nvSpPr>
        <xdr:cNvPr id="29" name="TextBox 28">
          <a:extLst>
            <a:ext uri="{FF2B5EF4-FFF2-40B4-BE49-F238E27FC236}">
              <a16:creationId xmlns:a16="http://schemas.microsoft.com/office/drawing/2014/main" id="{1A222E75-236C-1D0F-0FDF-4D8BC6E764C5}"/>
            </a:ext>
          </a:extLst>
        </xdr:cNvPr>
        <xdr:cNvSpPr txBox="1"/>
      </xdr:nvSpPr>
      <xdr:spPr>
        <a:xfrm>
          <a:off x="2332170" y="936493"/>
          <a:ext cx="1203326"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latin typeface="Arial Rounded MT Bold" panose="020F0704030504030204" pitchFamily="34" charset="0"/>
            </a:rPr>
            <a:t>Average</a:t>
          </a:r>
          <a:r>
            <a:rPr lang="en-IN" sz="900" b="0" baseline="0">
              <a:latin typeface="Arial Rounded MT Bold" panose="020F0704030504030204" pitchFamily="34" charset="0"/>
            </a:rPr>
            <a:t> Wait Time</a:t>
          </a:r>
          <a:endParaRPr lang="en-IN" sz="900" b="0">
            <a:latin typeface="Arial Rounded MT Bold" panose="020F0704030504030204" pitchFamily="34" charset="0"/>
          </a:endParaRPr>
        </a:p>
      </xdr:txBody>
    </xdr:sp>
    <xdr:clientData/>
  </xdr:twoCellAnchor>
  <xdr:twoCellAnchor editAs="absolute">
    <xdr:from>
      <xdr:col>3</xdr:col>
      <xdr:colOff>377824</xdr:colOff>
      <xdr:row>3</xdr:row>
      <xdr:rowOff>172773</xdr:rowOff>
    </xdr:from>
    <xdr:to>
      <xdr:col>5</xdr:col>
      <xdr:colOff>284692</xdr:colOff>
      <xdr:row>5</xdr:row>
      <xdr:rowOff>30294</xdr:rowOff>
    </xdr:to>
    <xdr:sp macro="" textlink="'Pivot Report'!A11">
      <xdr:nvSpPr>
        <xdr:cNvPr id="30" name="TextBox 29">
          <a:extLst>
            <a:ext uri="{FF2B5EF4-FFF2-40B4-BE49-F238E27FC236}">
              <a16:creationId xmlns:a16="http://schemas.microsoft.com/office/drawing/2014/main" id="{AA07FE7E-171F-E946-DB59-A7EE0264756E}"/>
            </a:ext>
          </a:extLst>
        </xdr:cNvPr>
        <xdr:cNvSpPr txBox="1"/>
      </xdr:nvSpPr>
      <xdr:spPr>
        <a:xfrm>
          <a:off x="2322512" y="718476"/>
          <a:ext cx="1203326"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506EA1E-884C-4598-837C-EC2C8D72BEF1}" type="TxLink">
            <a:rPr lang="en-US" sz="1100" b="0" i="0" u="none" strike="noStrike">
              <a:solidFill>
                <a:srgbClr val="000000"/>
              </a:solidFill>
              <a:latin typeface="Aptos Narrow"/>
            </a:rPr>
            <a:pPr algn="ctr"/>
            <a:t>34.43</a:t>
          </a:fld>
          <a:endParaRPr lang="en-IN" sz="900" b="1">
            <a:latin typeface="Arial Rounded MT Bold" panose="020F0704030504030204" pitchFamily="34" charset="0"/>
          </a:endParaRPr>
        </a:p>
      </xdr:txBody>
    </xdr:sp>
    <xdr:clientData/>
  </xdr:twoCellAnchor>
  <xdr:twoCellAnchor editAs="absolute">
    <xdr:from>
      <xdr:col>5</xdr:col>
      <xdr:colOff>384175</xdr:colOff>
      <xdr:row>5</xdr:row>
      <xdr:rowOff>26987</xdr:rowOff>
    </xdr:from>
    <xdr:to>
      <xdr:col>7</xdr:col>
      <xdr:colOff>291043</xdr:colOff>
      <xdr:row>6</xdr:row>
      <xdr:rowOff>66411</xdr:rowOff>
    </xdr:to>
    <xdr:sp macro="" textlink="">
      <xdr:nvSpPr>
        <xdr:cNvPr id="32" name="TextBox 31">
          <a:extLst>
            <a:ext uri="{FF2B5EF4-FFF2-40B4-BE49-F238E27FC236}">
              <a16:creationId xmlns:a16="http://schemas.microsoft.com/office/drawing/2014/main" id="{FD334043-86B8-506E-0251-D0363C94DE14}"/>
            </a:ext>
          </a:extLst>
        </xdr:cNvPr>
        <xdr:cNvSpPr txBox="1"/>
      </xdr:nvSpPr>
      <xdr:spPr>
        <a:xfrm>
          <a:off x="3625321" y="936493"/>
          <a:ext cx="1203326"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30" b="0">
              <a:latin typeface="Arial Rounded MT Bold" panose="020F0704030504030204" pitchFamily="34" charset="0"/>
            </a:rPr>
            <a:t>Patient Satisfaction</a:t>
          </a:r>
          <a:r>
            <a:rPr lang="en-IN" sz="730" b="0" baseline="0">
              <a:latin typeface="Arial Rounded MT Bold" panose="020F0704030504030204" pitchFamily="34" charset="0"/>
            </a:rPr>
            <a:t> Score</a:t>
          </a:r>
          <a:endParaRPr lang="en-IN" sz="730" b="0">
            <a:latin typeface="Arial Rounded MT Bold" panose="020F0704030504030204" pitchFamily="34" charset="0"/>
          </a:endParaRPr>
        </a:p>
      </xdr:txBody>
    </xdr:sp>
    <xdr:clientData/>
  </xdr:twoCellAnchor>
  <xdr:twoCellAnchor editAs="absolute">
    <xdr:from>
      <xdr:col>5</xdr:col>
      <xdr:colOff>374517</xdr:colOff>
      <xdr:row>3</xdr:row>
      <xdr:rowOff>172773</xdr:rowOff>
    </xdr:from>
    <xdr:to>
      <xdr:col>7</xdr:col>
      <xdr:colOff>281385</xdr:colOff>
      <xdr:row>5</xdr:row>
      <xdr:rowOff>30294</xdr:rowOff>
    </xdr:to>
    <xdr:sp macro="" textlink="'Pivot Report'!A16">
      <xdr:nvSpPr>
        <xdr:cNvPr id="33" name="TextBox 32">
          <a:extLst>
            <a:ext uri="{FF2B5EF4-FFF2-40B4-BE49-F238E27FC236}">
              <a16:creationId xmlns:a16="http://schemas.microsoft.com/office/drawing/2014/main" id="{6F8A7CCA-423E-50F0-8A89-340392DEAB40}"/>
            </a:ext>
          </a:extLst>
        </xdr:cNvPr>
        <xdr:cNvSpPr txBox="1"/>
      </xdr:nvSpPr>
      <xdr:spPr>
        <a:xfrm>
          <a:off x="3615663" y="718476"/>
          <a:ext cx="1203326" cy="2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BDBDA5E-5A7C-41F8-BF8B-8BBD5CE251DC}" type="TxLink">
            <a:rPr lang="en-US" sz="1100" b="0" i="0" u="none" strike="noStrike">
              <a:solidFill>
                <a:srgbClr val="000000"/>
              </a:solidFill>
              <a:latin typeface="Aptos Narrow"/>
            </a:rPr>
            <a:pPr algn="ctr"/>
            <a:t>5.16</a:t>
          </a:fld>
          <a:endParaRPr lang="en-IN" sz="900" b="1">
            <a:latin typeface="Arial Rounded MT Bold" panose="020F0704030504030204" pitchFamily="34" charset="0"/>
          </a:endParaRPr>
        </a:p>
      </xdr:txBody>
    </xdr:sp>
    <xdr:clientData/>
  </xdr:twoCellAnchor>
  <xdr:twoCellAnchor editAs="oneCell">
    <xdr:from>
      <xdr:col>2</xdr:col>
      <xdr:colOff>625079</xdr:colOff>
      <xdr:row>3</xdr:row>
      <xdr:rowOff>132293</xdr:rowOff>
    </xdr:from>
    <xdr:to>
      <xdr:col>3</xdr:col>
      <xdr:colOff>274505</xdr:colOff>
      <xdr:row>5</xdr:row>
      <xdr:rowOff>66146</xdr:rowOff>
    </xdr:to>
    <xdr:pic>
      <xdr:nvPicPr>
        <xdr:cNvPr id="35" name="Graphic 34" descr="User with solid fill">
          <a:extLst>
            <a:ext uri="{FF2B5EF4-FFF2-40B4-BE49-F238E27FC236}">
              <a16:creationId xmlns:a16="http://schemas.microsoft.com/office/drawing/2014/main" id="{C610DEAC-E774-CC54-BD5E-F486D1221E0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21537" y="677996"/>
          <a:ext cx="297656" cy="297656"/>
        </a:xfrm>
        <a:prstGeom prst="rect">
          <a:avLst/>
        </a:prstGeom>
      </xdr:spPr>
    </xdr:pic>
    <xdr:clientData/>
  </xdr:twoCellAnchor>
  <xdr:twoCellAnchor editAs="oneCell">
    <xdr:from>
      <xdr:col>6</xdr:col>
      <xdr:colOff>618464</xdr:colOff>
      <xdr:row>3</xdr:row>
      <xdr:rowOff>152136</xdr:rowOff>
    </xdr:from>
    <xdr:to>
      <xdr:col>7</xdr:col>
      <xdr:colOff>228204</xdr:colOff>
      <xdr:row>5</xdr:row>
      <xdr:rowOff>46302</xdr:rowOff>
    </xdr:to>
    <xdr:pic>
      <xdr:nvPicPr>
        <xdr:cNvPr id="37" name="Graphic 36" descr="Customer review with solid fill">
          <a:extLst>
            <a:ext uri="{FF2B5EF4-FFF2-40B4-BE49-F238E27FC236}">
              <a16:creationId xmlns:a16="http://schemas.microsoft.com/office/drawing/2014/main" id="{D8CF5736-3EB6-3423-7141-F2CA1370611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07839" y="697839"/>
          <a:ext cx="257969" cy="257969"/>
        </a:xfrm>
        <a:prstGeom prst="rect">
          <a:avLst/>
        </a:prstGeom>
      </xdr:spPr>
    </xdr:pic>
    <xdr:clientData/>
  </xdr:twoCellAnchor>
  <xdr:twoCellAnchor editAs="oneCell">
    <xdr:from>
      <xdr:col>5</xdr:col>
      <xdr:colOff>29765</xdr:colOff>
      <xdr:row>3</xdr:row>
      <xdr:rowOff>168674</xdr:rowOff>
    </xdr:from>
    <xdr:to>
      <xdr:col>5</xdr:col>
      <xdr:colOff>267888</xdr:colOff>
      <xdr:row>5</xdr:row>
      <xdr:rowOff>42994</xdr:rowOff>
    </xdr:to>
    <xdr:pic>
      <xdr:nvPicPr>
        <xdr:cNvPr id="39" name="Graphic 38" descr="Hourglass Finished with solid fill">
          <a:extLst>
            <a:ext uri="{FF2B5EF4-FFF2-40B4-BE49-F238E27FC236}">
              <a16:creationId xmlns:a16="http://schemas.microsoft.com/office/drawing/2014/main" id="{EACDD263-FA9B-98BC-D546-103C9A0631F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70911" y="714377"/>
          <a:ext cx="238123" cy="238123"/>
        </a:xfrm>
        <a:prstGeom prst="rect">
          <a:avLst/>
        </a:prstGeom>
      </xdr:spPr>
    </xdr:pic>
    <xdr:clientData/>
  </xdr:twoCellAnchor>
  <xdr:twoCellAnchor editAs="oneCell">
    <xdr:from>
      <xdr:col>0</xdr:col>
      <xdr:colOff>83739</xdr:colOff>
      <xdr:row>3</xdr:row>
      <xdr:rowOff>161925</xdr:rowOff>
    </xdr:from>
    <xdr:to>
      <xdr:col>1</xdr:col>
      <xdr:colOff>249039</xdr:colOff>
      <xdr:row>20</xdr:row>
      <xdr:rowOff>119064</xdr:rowOff>
    </xdr:to>
    <mc:AlternateContent xmlns:mc="http://schemas.openxmlformats.org/markup-compatibility/2006" xmlns:a14="http://schemas.microsoft.com/office/drawing/2010/main">
      <mc:Choice Requires="a14">
        <xdr:graphicFrame macro="">
          <xdr:nvGraphicFramePr>
            <xdr:cNvPr id="40" name="Date (Month) 1">
              <a:extLst>
                <a:ext uri="{FF2B5EF4-FFF2-40B4-BE49-F238E27FC236}">
                  <a16:creationId xmlns:a16="http://schemas.microsoft.com/office/drawing/2014/main" id="{E75EF5D6-FAA3-44B6-AF6B-EDC2848C702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3739" y="701076"/>
              <a:ext cx="812281" cy="3012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284150</xdr:colOff>
      <xdr:row>0</xdr:row>
      <xdr:rowOff>57978</xdr:rowOff>
    </xdr:from>
    <xdr:to>
      <xdr:col>13</xdr:col>
      <xdr:colOff>157162</xdr:colOff>
      <xdr:row>9</xdr:row>
      <xdr:rowOff>8283</xdr:rowOff>
    </xdr:to>
    <xdr:sp macro="" textlink="">
      <xdr:nvSpPr>
        <xdr:cNvPr id="43" name="Rectangle: Rounded Corners 42">
          <a:extLst>
            <a:ext uri="{FF2B5EF4-FFF2-40B4-BE49-F238E27FC236}">
              <a16:creationId xmlns:a16="http://schemas.microsoft.com/office/drawing/2014/main" id="{D6CE68C6-00EC-476E-B4F6-828B08DC62F8}"/>
            </a:ext>
          </a:extLst>
        </xdr:cNvPr>
        <xdr:cNvSpPr/>
      </xdr:nvSpPr>
      <xdr:spPr>
        <a:xfrm>
          <a:off x="6767553" y="57978"/>
          <a:ext cx="1818033" cy="1571156"/>
        </a:xfrm>
        <a:prstGeom prst="roundRect">
          <a:avLst>
            <a:gd name="adj" fmla="val 59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392906</xdr:colOff>
      <xdr:row>6</xdr:row>
      <xdr:rowOff>85755</xdr:rowOff>
    </xdr:from>
    <xdr:to>
      <xdr:col>3</xdr:col>
      <xdr:colOff>315515</xdr:colOff>
      <xdr:row>9</xdr:row>
      <xdr:rowOff>39290</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60829EF2-5812-477D-97D3-4DD813435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381899</xdr:colOff>
      <xdr:row>7</xdr:row>
      <xdr:rowOff>117230</xdr:rowOff>
    </xdr:from>
    <xdr:to>
      <xdr:col>5</xdr:col>
      <xdr:colOff>372912</xdr:colOff>
      <xdr:row>9</xdr:row>
      <xdr:rowOff>32971</xdr:rowOff>
    </xdr:to>
    <xdr:graphicFrame macro="">
      <xdr:nvGraphicFramePr>
        <xdr:cNvPr id="5" name="Chart 4">
          <a:hlinkClick xmlns:r="http://schemas.openxmlformats.org/officeDocument/2006/relationships" r:id="rId10"/>
          <a:extLst>
            <a:ext uri="{FF2B5EF4-FFF2-40B4-BE49-F238E27FC236}">
              <a16:creationId xmlns:a16="http://schemas.microsoft.com/office/drawing/2014/main" id="{FAA874FD-564D-411B-846E-70A869124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359229</xdr:colOff>
      <xdr:row>4</xdr:row>
      <xdr:rowOff>153228</xdr:rowOff>
    </xdr:from>
    <xdr:to>
      <xdr:col>7</xdr:col>
      <xdr:colOff>312760</xdr:colOff>
      <xdr:row>9</xdr:row>
      <xdr:rowOff>74543</xdr:rowOff>
    </xdr:to>
    <xdr:graphicFrame macro="">
      <xdr:nvGraphicFramePr>
        <xdr:cNvPr id="8" name="Chart 7">
          <a:hlinkClick xmlns:r="http://schemas.openxmlformats.org/officeDocument/2006/relationships" r:id="rId12"/>
          <a:extLst>
            <a:ext uri="{FF2B5EF4-FFF2-40B4-BE49-F238E27FC236}">
              <a16:creationId xmlns:a16="http://schemas.microsoft.com/office/drawing/2014/main" id="{70BECE5A-BEC6-437F-ACE2-3672D3E6E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405849</xdr:colOff>
          <xdr:row>9</xdr:row>
          <xdr:rowOff>66260</xdr:rowOff>
        </xdr:from>
        <xdr:to>
          <xdr:col>7</xdr:col>
          <xdr:colOff>306457</xdr:colOff>
          <xdr:row>13</xdr:row>
          <xdr:rowOff>0</xdr:rowOff>
        </xdr:to>
        <xdr:pic>
          <xdr:nvPicPr>
            <xdr:cNvPr id="36" name="Picture 35">
              <a:extLst>
                <a:ext uri="{FF2B5EF4-FFF2-40B4-BE49-F238E27FC236}">
                  <a16:creationId xmlns:a16="http://schemas.microsoft.com/office/drawing/2014/main" id="{6421EC5A-2221-23DD-D30B-F39652A954EC}"/>
                </a:ext>
              </a:extLst>
            </xdr:cNvPr>
            <xdr:cNvPicPr>
              <a:picLocks noChangeAspect="1" noChangeArrowheads="1"/>
              <a:extLst>
                <a:ext uri="{84589F7E-364E-4C9E-8A38-B11213B215E9}">
                  <a14:cameraTool cellRange="'Pivot Report'!$P$12:$S$14" spid="_x0000_s2086"/>
                </a:ext>
              </a:extLst>
            </xdr:cNvPicPr>
          </xdr:nvPicPr>
          <xdr:blipFill>
            <a:blip xmlns:r="http://schemas.openxmlformats.org/officeDocument/2006/relationships" r:embed="rId14"/>
            <a:srcRect/>
            <a:stretch>
              <a:fillRect/>
            </a:stretch>
          </xdr:blipFill>
          <xdr:spPr bwMode="auto">
            <a:xfrm>
              <a:off x="1051892" y="1706217"/>
              <a:ext cx="3776869" cy="662609"/>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401489</xdr:colOff>
      <xdr:row>13</xdr:row>
      <xdr:rowOff>66838</xdr:rowOff>
    </xdr:from>
    <xdr:to>
      <xdr:col>7</xdr:col>
      <xdr:colOff>273326</xdr:colOff>
      <xdr:row>20</xdr:row>
      <xdr:rowOff>128379</xdr:rowOff>
    </xdr:to>
    <xdr:graphicFrame macro="">
      <xdr:nvGraphicFramePr>
        <xdr:cNvPr id="38" name="Chart 37">
          <a:extLst>
            <a:ext uri="{FF2B5EF4-FFF2-40B4-BE49-F238E27FC236}">
              <a16:creationId xmlns:a16="http://schemas.microsoft.com/office/drawing/2014/main" id="{EDDD39DF-9EEA-4EC5-8CBF-2AA8E75A3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492815</xdr:colOff>
      <xdr:row>20</xdr:row>
      <xdr:rowOff>33129</xdr:rowOff>
    </xdr:from>
    <xdr:to>
      <xdr:col>5</xdr:col>
      <xdr:colOff>600490</xdr:colOff>
      <xdr:row>21</xdr:row>
      <xdr:rowOff>16566</xdr:rowOff>
    </xdr:to>
    <xdr:sp macro="" textlink="">
      <xdr:nvSpPr>
        <xdr:cNvPr id="41" name="TextBox 40">
          <a:extLst>
            <a:ext uri="{FF2B5EF4-FFF2-40B4-BE49-F238E27FC236}">
              <a16:creationId xmlns:a16="http://schemas.microsoft.com/office/drawing/2014/main" id="{185315F5-D4EE-4794-B6D6-56F4E3B0F379}"/>
            </a:ext>
          </a:extLst>
        </xdr:cNvPr>
        <xdr:cNvSpPr txBox="1"/>
      </xdr:nvSpPr>
      <xdr:spPr>
        <a:xfrm>
          <a:off x="1784902" y="3677477"/>
          <a:ext cx="2045805" cy="16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b="0">
              <a:latin typeface="Arial Rounded MT Bold" panose="020F0704030504030204" pitchFamily="34" charset="0"/>
            </a:rPr>
            <a:t>No.</a:t>
          </a:r>
          <a:r>
            <a:rPr lang="en-IN" sz="900" b="0" baseline="0">
              <a:latin typeface="Arial Rounded MT Bold" panose="020F0704030504030204" pitchFamily="34" charset="0"/>
            </a:rPr>
            <a:t> of Patients by Age Group</a:t>
          </a:r>
          <a:endParaRPr lang="en-IN" sz="900" b="0">
            <a:latin typeface="Arial Rounded MT Bold" panose="020F0704030504030204" pitchFamily="34" charset="0"/>
          </a:endParaRPr>
        </a:p>
      </xdr:txBody>
    </xdr:sp>
    <xdr:clientData/>
  </xdr:twoCellAnchor>
  <xdr:twoCellAnchor>
    <xdr:from>
      <xdr:col>7</xdr:col>
      <xdr:colOff>364435</xdr:colOff>
      <xdr:row>0</xdr:row>
      <xdr:rowOff>86968</xdr:rowOff>
    </xdr:from>
    <xdr:to>
      <xdr:col>10</xdr:col>
      <xdr:colOff>252619</xdr:colOff>
      <xdr:row>7</xdr:row>
      <xdr:rowOff>161512</xdr:rowOff>
    </xdr:to>
    <xdr:graphicFrame macro="">
      <xdr:nvGraphicFramePr>
        <xdr:cNvPr id="42" name="Chart 41">
          <a:extLst>
            <a:ext uri="{FF2B5EF4-FFF2-40B4-BE49-F238E27FC236}">
              <a16:creationId xmlns:a16="http://schemas.microsoft.com/office/drawing/2014/main" id="{735304BF-C501-4CE5-B457-E1540AC99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240196</xdr:colOff>
      <xdr:row>7</xdr:row>
      <xdr:rowOff>173934</xdr:rowOff>
    </xdr:from>
    <xdr:to>
      <xdr:col>10</xdr:col>
      <xdr:colOff>347870</xdr:colOff>
      <xdr:row>8</xdr:row>
      <xdr:rowOff>157371</xdr:rowOff>
    </xdr:to>
    <xdr:sp macro="" textlink="">
      <xdr:nvSpPr>
        <xdr:cNvPr id="44" name="TextBox 43">
          <a:extLst>
            <a:ext uri="{FF2B5EF4-FFF2-40B4-BE49-F238E27FC236}">
              <a16:creationId xmlns:a16="http://schemas.microsoft.com/office/drawing/2014/main" id="{2FD00313-023C-43EC-BE00-23892EDFFC6D}"/>
            </a:ext>
          </a:extLst>
        </xdr:cNvPr>
        <xdr:cNvSpPr txBox="1"/>
      </xdr:nvSpPr>
      <xdr:spPr>
        <a:xfrm>
          <a:off x="4762500" y="1449456"/>
          <a:ext cx="2045805" cy="16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b="0">
              <a:latin typeface="Arial Rounded MT Bold" panose="020F0704030504030204" pitchFamily="34" charset="0"/>
            </a:rPr>
            <a:t>Patient</a:t>
          </a:r>
          <a:r>
            <a:rPr lang="en-IN" sz="900" b="0" baseline="0">
              <a:latin typeface="Arial Rounded MT Bold" panose="020F0704030504030204" pitchFamily="34" charset="0"/>
            </a:rPr>
            <a:t> Attended within time</a:t>
          </a:r>
          <a:endParaRPr lang="en-IN" sz="900" b="0">
            <a:latin typeface="Arial Rounded MT Bold" panose="020F0704030504030204" pitchFamily="34" charset="0"/>
          </a:endParaRPr>
        </a:p>
      </xdr:txBody>
    </xdr:sp>
    <xdr:clientData/>
  </xdr:twoCellAnchor>
  <xdr:twoCellAnchor>
    <xdr:from>
      <xdr:col>10</xdr:col>
      <xdr:colOff>300159</xdr:colOff>
      <xdr:row>0</xdr:row>
      <xdr:rowOff>108857</xdr:rowOff>
    </xdr:from>
    <xdr:to>
      <xdr:col>13</xdr:col>
      <xdr:colOff>108858</xdr:colOff>
      <xdr:row>8</xdr:row>
      <xdr:rowOff>142875</xdr:rowOff>
    </xdr:to>
    <xdr:graphicFrame macro="">
      <xdr:nvGraphicFramePr>
        <xdr:cNvPr id="49" name="Chart 48">
          <a:extLst>
            <a:ext uri="{FF2B5EF4-FFF2-40B4-BE49-F238E27FC236}">
              <a16:creationId xmlns:a16="http://schemas.microsoft.com/office/drawing/2014/main" id="{7C147114-F820-437F-9155-372BF7F04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140872</xdr:colOff>
      <xdr:row>7</xdr:row>
      <xdr:rowOff>160084</xdr:rowOff>
    </xdr:from>
    <xdr:to>
      <xdr:col>14</xdr:col>
      <xdr:colOff>45849</xdr:colOff>
      <xdr:row>8</xdr:row>
      <xdr:rowOff>166888</xdr:rowOff>
    </xdr:to>
    <xdr:sp macro="" textlink="">
      <xdr:nvSpPr>
        <xdr:cNvPr id="50" name="TextBox 49">
          <a:extLst>
            <a:ext uri="{FF2B5EF4-FFF2-40B4-BE49-F238E27FC236}">
              <a16:creationId xmlns:a16="http://schemas.microsoft.com/office/drawing/2014/main" id="{6A4C6EC8-E1FD-439E-A9BE-DAD175C84C88}"/>
            </a:ext>
          </a:extLst>
        </xdr:cNvPr>
        <xdr:cNvSpPr txBox="1"/>
      </xdr:nvSpPr>
      <xdr:spPr>
        <a:xfrm>
          <a:off x="6624275" y="1420746"/>
          <a:ext cx="2067486" cy="186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b="0">
              <a:latin typeface="Arial Rounded MT Bold" panose="020F0704030504030204" pitchFamily="34" charset="0"/>
            </a:rPr>
            <a:t>No.</a:t>
          </a:r>
          <a:r>
            <a:rPr lang="en-IN" sz="900" b="0" baseline="0">
              <a:latin typeface="Arial Rounded MT Bold" panose="020F0704030504030204" pitchFamily="34" charset="0"/>
            </a:rPr>
            <a:t> of Patients by Gender</a:t>
          </a:r>
          <a:endParaRPr lang="en-IN" sz="900" b="0">
            <a:latin typeface="Arial Rounded MT Bold" panose="020F0704030504030204" pitchFamily="34" charset="0"/>
          </a:endParaRPr>
        </a:p>
      </xdr:txBody>
    </xdr:sp>
    <xdr:clientData/>
  </xdr:twoCellAnchor>
  <xdr:twoCellAnchor>
    <xdr:from>
      <xdr:col>7</xdr:col>
      <xdr:colOff>360189</xdr:colOff>
      <xdr:row>9</xdr:row>
      <xdr:rowOff>85507</xdr:rowOff>
    </xdr:from>
    <xdr:to>
      <xdr:col>13</xdr:col>
      <xdr:colOff>124065</xdr:colOff>
      <xdr:row>20</xdr:row>
      <xdr:rowOff>152081</xdr:rowOff>
    </xdr:to>
    <xdr:graphicFrame macro="">
      <xdr:nvGraphicFramePr>
        <xdr:cNvPr id="51" name="Chart 50">
          <a:extLst>
            <a:ext uri="{FF2B5EF4-FFF2-40B4-BE49-F238E27FC236}">
              <a16:creationId xmlns:a16="http://schemas.microsoft.com/office/drawing/2014/main" id="{54F53350-7BB4-46EE-92A1-5D8CFAA65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236155</xdr:colOff>
      <xdr:row>0</xdr:row>
      <xdr:rowOff>79335</xdr:rowOff>
    </xdr:from>
    <xdr:to>
      <xdr:col>7</xdr:col>
      <xdr:colOff>220780</xdr:colOff>
      <xdr:row>2</xdr:row>
      <xdr:rowOff>179035</xdr:rowOff>
    </xdr:to>
    <mc:AlternateContent xmlns:mc="http://schemas.openxmlformats.org/markup-compatibility/2006">
      <mc:Choice xmlns:a14="http://schemas.microsoft.com/office/drawing/2010/main" Requires="a14">
        <xdr:graphicFrame macro="">
          <xdr:nvGraphicFramePr>
            <xdr:cNvPr id="52" name="Date (Year) 1">
              <a:extLst>
                <a:ext uri="{FF2B5EF4-FFF2-40B4-BE49-F238E27FC236}">
                  <a16:creationId xmlns:a16="http://schemas.microsoft.com/office/drawing/2014/main" id="{EC832C06-B7E9-41B1-A287-52229FA54D5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474655" y="79335"/>
              <a:ext cx="1280025" cy="46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0.20673</cdr:x>
      <cdr:y>0.92014</cdr:y>
    </cdr:from>
    <cdr:to>
      <cdr:x>0.77347</cdr:x>
      <cdr:y>1</cdr:y>
    </cdr:to>
    <cdr:sp macro="" textlink="">
      <cdr:nvSpPr>
        <cdr:cNvPr id="2" name="TextBox 43">
          <a:extLst xmlns:a="http://schemas.openxmlformats.org/drawingml/2006/main">
            <a:ext uri="{FF2B5EF4-FFF2-40B4-BE49-F238E27FC236}">
              <a16:creationId xmlns:a16="http://schemas.microsoft.com/office/drawing/2014/main" id="{2FD00313-023C-43EC-BE00-23892EDFFC6D}"/>
            </a:ext>
          </a:extLst>
        </cdr:cNvPr>
        <cdr:cNvSpPr txBox="1"/>
      </cdr:nvSpPr>
      <cdr:spPr>
        <a:xfrm xmlns:a="http://schemas.openxmlformats.org/drawingml/2006/main">
          <a:off x="755366" y="1884083"/>
          <a:ext cx="2070840" cy="1635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0">
              <a:latin typeface="Arial Rounded MT Bold" panose="020F0704030504030204" pitchFamily="34" charset="0"/>
            </a:rPr>
            <a:t>No.</a:t>
          </a:r>
          <a:r>
            <a:rPr lang="en-IN" sz="900" b="0" baseline="0">
              <a:latin typeface="Arial Rounded MT Bold" panose="020F0704030504030204" pitchFamily="34" charset="0"/>
            </a:rPr>
            <a:t> of Patient by Department Referral</a:t>
          </a:r>
          <a:endParaRPr lang="en-IN" sz="900" b="0">
            <a:latin typeface="Arial Rounded MT Bold" panose="020F070403050403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1</xdr:row>
      <xdr:rowOff>180974</xdr:rowOff>
    </xdr:from>
    <xdr:to>
      <xdr:col>14</xdr:col>
      <xdr:colOff>414338</xdr:colOff>
      <xdr:row>21</xdr:row>
      <xdr:rowOff>95250</xdr:rowOff>
    </xdr:to>
    <xdr:graphicFrame macro="">
      <xdr:nvGraphicFramePr>
        <xdr:cNvPr id="2" name="Chart 1">
          <a:extLst>
            <a:ext uri="{FF2B5EF4-FFF2-40B4-BE49-F238E27FC236}">
              <a16:creationId xmlns:a16="http://schemas.microsoft.com/office/drawing/2014/main" id="{978F387E-0304-405E-9906-433E85CE2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9524</xdr:colOff>
      <xdr:row>1</xdr:row>
      <xdr:rowOff>176213</xdr:rowOff>
    </xdr:from>
    <xdr:to>
      <xdr:col>1</xdr:col>
      <xdr:colOff>409574</xdr:colOff>
      <xdr:row>4</xdr:row>
      <xdr:rowOff>33338</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D29C9C5-941A-66C0-EBFF-175507425C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7224" y="357188"/>
          <a:ext cx="40005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5566</xdr:colOff>
      <xdr:row>3</xdr:row>
      <xdr:rowOff>13415</xdr:rowOff>
    </xdr:from>
    <xdr:to>
      <xdr:col>18</xdr:col>
      <xdr:colOff>96055</xdr:colOff>
      <xdr:row>20</xdr:row>
      <xdr:rowOff>75328</xdr:rowOff>
    </xdr:to>
    <xdr:graphicFrame macro="">
      <xdr:nvGraphicFramePr>
        <xdr:cNvPr id="2" name="Chart 1">
          <a:extLst>
            <a:ext uri="{FF2B5EF4-FFF2-40B4-BE49-F238E27FC236}">
              <a16:creationId xmlns:a16="http://schemas.microsoft.com/office/drawing/2014/main" id="{47D73F35-6036-4CFC-BC15-815D3CFF6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0.01298</cdr:x>
      <cdr:y>0</cdr:y>
    </cdr:from>
    <cdr:to>
      <cdr:x>0.06531</cdr:x>
      <cdr:y>0.18581</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AD91E18-088A-884F-2ABE-E956E59D3C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44708" y="0"/>
          <a:ext cx="583573" cy="583573"/>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650651</xdr:colOff>
      <xdr:row>2</xdr:row>
      <xdr:rowOff>0</xdr:rowOff>
    </xdr:from>
    <xdr:to>
      <xdr:col>18</xdr:col>
      <xdr:colOff>120739</xdr:colOff>
      <xdr:row>21</xdr:row>
      <xdr:rowOff>147571</xdr:rowOff>
    </xdr:to>
    <xdr:graphicFrame macro="">
      <xdr:nvGraphicFramePr>
        <xdr:cNvPr id="3" name="Chart 2">
          <a:extLst>
            <a:ext uri="{FF2B5EF4-FFF2-40B4-BE49-F238E27FC236}">
              <a16:creationId xmlns:a16="http://schemas.microsoft.com/office/drawing/2014/main" id="{3436B986-CF52-4844-A2C0-25B16030E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40247</xdr:colOff>
      <xdr:row>1</xdr:row>
      <xdr:rowOff>167695</xdr:rowOff>
    </xdr:from>
    <xdr:to>
      <xdr:col>2</xdr:col>
      <xdr:colOff>13415</xdr:colOff>
      <xdr:row>5</xdr:row>
      <xdr:rowOff>67077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3522D32-32C7-DA08-7D3D-BD2D358FBB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0899" y="637237"/>
          <a:ext cx="623819" cy="6238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28587965" createdVersion="5" refreshedVersion="8" minRefreshableVersion="3" recordCount="0" supportSubquery="1" supportAdvancedDrill="1" xr:uid="{BD887B53-B220-4BF9-BD63-5FA4E6B04F45}">
  <cacheSource type="external" connectionId="3"/>
  <cacheFields count="5">
    <cacheField name="[Calendar_Table].[Date (Month)].[Date (Month)]" caption="Date (Month)" numFmtId="0" hierarchy="1" level="1">
      <sharedItems count="1">
        <s v="Feb"/>
      </sharedItems>
    </cacheField>
    <cacheField name="[Hospital Emergency Room Data].[Patient Admission Flag].[Patient Admission Flag]" caption="Patient Admission Flag" numFmtId="0" hierarchy="13" level="1">
      <sharedItems count="2">
        <s v="Admitted"/>
        <s v="Not Admitted"/>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28587965" createdVersion="5" refreshedVersion="8" minRefreshableVersion="3" recordCount="0" supportSubquery="1" supportAdvancedDrill="1" xr:uid="{4B4E3335-DEE6-4B46-852B-C5B84DD9D10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28935188" createdVersion="5" refreshedVersion="8" minRefreshableVersion="3" recordCount="0" supportSubquery="1" supportAdvancedDrill="1" xr:uid="{1DBF9FEA-D8F5-4ED8-9A59-AB4D1905DD60}">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2939815" createdVersion="5" refreshedVersion="8" minRefreshableVersion="3" recordCount="0" supportSubquery="1" supportAdvancedDrill="1" xr:uid="{D02074F2-560E-4AB5-A94C-B218CBB2F20A}">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29513889" createdVersion="5" refreshedVersion="8" minRefreshableVersion="3" recordCount="0" supportSubquery="1" supportAdvancedDrill="1" xr:uid="{ED733052-20C8-4E5A-85C0-B75B120FCE9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29629627" createdVersion="5" refreshedVersion="8" minRefreshableVersion="3" recordCount="0" supportSubquery="1" supportAdvancedDrill="1" xr:uid="{A537347E-1C33-431B-B629-6707BCC3B27B}">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30092589" createdVersion="5" refreshedVersion="8" minRefreshableVersion="3" recordCount="0" supportSubquery="1" supportAdvancedDrill="1" xr:uid="{C3FAE12D-F053-4B99-BF51-0EEDF3DBC4A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30439813" createdVersion="5" refreshedVersion="8" minRefreshableVersion="3" recordCount="0" supportSubquery="1" supportAdvancedDrill="1" xr:uid="{784F16DD-3580-4D58-9FC9-C0E389982326}">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30787036" createdVersion="5" refreshedVersion="8" minRefreshableVersion="3" recordCount="0" supportSubquery="1" supportAdvancedDrill="1" xr:uid="{CC2DCF4E-D36F-48D7-A999-C2F618D50051}">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31134259" createdVersion="5" refreshedVersion="8" minRefreshableVersion="3" recordCount="0" supportSubquery="1" supportAdvancedDrill="1" xr:uid="{0132DDFB-EB8F-41B0-B7CF-F8A01DA508A9}">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31597221" createdVersion="5" refreshedVersion="8" minRefreshableVersion="3" recordCount="0" supportSubquery="1" supportAdvancedDrill="1" xr:uid="{D7CBB383-6DFA-441D-A4BB-A7B5ADD1A7F2}">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22731944444" createdVersion="5" refreshedVersion="8" minRefreshableVersion="3" recordCount="0" supportSubquery="1" supportAdvancedDrill="1" xr:uid="{EEA969F0-FA7D-43D0-A40D-11F32EDEA300}">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lhat" refreshedDate="46030.119993402775" createdVersion="3" refreshedVersion="8" minRefreshableVersion="3" recordCount="0" supportSubquery="1" supportAdvancedDrill="1" xr:uid="{72648AF9-2605-4DDE-B6B5-3D2DFB7C25DC}">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406240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3F50D6-D37B-4EC6-87C3-32D88C56FFD5}" name="PivotTable12" cacheId="1204"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chartFormat="28">
  <location ref="BE9:BE11" firstHeaderRow="1" firstDataRow="1" firstDataCol="1"/>
  <pivotFields count="5">
    <pivotField axis="axisRow" allDrilled="1" subtotalTop="0" showAll="0" dataSourceSort="1" defaultSubtotal="0">
      <items count="1">
        <item x="0" e="0"/>
      </items>
    </pivotField>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225">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BA347-D6F6-48E7-A625-502BF8C524FE}" name="PivotTable11" cacheId="1213"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chartFormat="28">
  <location ref="AV9:AW18"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3" subtotal="count" baseField="0" baseItem="0"/>
  </dataFields>
  <formats count="2">
    <format dxfId="297">
      <pivotArea outline="0" collapsedLevelsAreSubtotals="1" fieldPosition="0"/>
    </format>
    <format dxfId="272">
      <pivotArea collapsedLevelsAreSubtotals="1" fieldPosition="0">
        <references count="1">
          <reference field="2" count="0"/>
        </references>
      </pivotArea>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1B1879-2B5B-4C24-BCBB-A116EA8AF3E2}" name="PivotTable10" cacheId="1210"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chartFormat="25">
  <location ref="AN7:AO10"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Id" fld="2" subtotal="count" baseField="0" baseItem="0"/>
  </dataFields>
  <formats count="2">
    <format dxfId="299">
      <pivotArea outline="0" collapsedLevelsAreSubtotals="1" fieldPosition="0"/>
    </format>
    <format dxfId="298">
      <pivotArea collapsedLevelsAreSubtotals="1" fieldPosition="0">
        <references count="1">
          <reference field="3" count="0"/>
        </references>
      </pivotArea>
    </format>
  </formats>
  <chartFormats count="4">
    <chartFormat chart="20"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3" count="1" selected="0">
            <x v="0"/>
          </reference>
        </references>
      </pivotArea>
    </chartFormat>
    <chartFormat chart="23" format="6">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FCDC7B-C7C3-45BB-9F45-D0C85881C624}" name="PivotTable9" cacheId="1237"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chartFormat="12">
  <location ref="AE7:AF10"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dataFields>
  <formats count="2">
    <format dxfId="301">
      <pivotArea outline="0" collapsedLevelsAreSubtotals="1" fieldPosition="0"/>
    </format>
    <format dxfId="300">
      <pivotArea collapsedLevelsAreSubtotals="1" fieldPosition="0">
        <references count="1">
          <reference field="2" count="0"/>
        </references>
      </pivotArea>
    </format>
  </formats>
  <chartFormats count="4">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1C589-6AB4-4220-878B-3A4358FF80C6}" name="PivotTable8" cacheId="1234"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chartFormat="4">
  <location ref="V7:W16"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2">
    <format dxfId="303">
      <pivotArea outline="0" collapsedLevelsAreSubtotals="1" fieldPosition="0"/>
    </format>
    <format dxfId="302">
      <pivotArea collapsedLevelsAreSubtotals="1"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259DE3-7C0C-4D6C-8B45-FA6BAD126298}" name="PivotTable7" cacheId="1231"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chartFormat="1">
  <location ref="P6:R9" firstHeaderRow="0" firstDataRow="1" firstDataCol="1"/>
  <pivotFields count="5">
    <pivotField allDrilled="1" subtotalTop="0" showAll="0" dataSourceSort="1" defaultSubtotal="0" defaultAttributeDrillState="1"/>
    <pivotField axis="axisRow" allDrilled="1" subtotalTop="0" showAll="0" sortType="ascending"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306">
      <pivotArea outline="0" collapsedLevelsAreSubtotals="1" fieldPosition="0"/>
    </format>
    <format dxfId="305">
      <pivotArea collapsedLevelsAreSubtotals="1" fieldPosition="0">
        <references count="1">
          <reference field="1" count="0"/>
        </references>
      </pivotArea>
    </format>
    <format dxfId="30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5B67C3-15FF-424B-9A20-5143C249B537}" name="PivotTable1" cacheId="1207" applyNumberFormats="0" applyBorderFormats="0" applyFontFormats="0" applyPatternFormats="0" applyAlignmentFormats="0" applyWidthHeightFormats="1" dataCaption="Values" tag="26783177-c577-4f0b-9d30-8c4a4162f5af"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CC5945-691E-416C-936A-EF8F247A9184}" name="PivotTable6" cacheId="1228" applyNumberFormats="0" applyBorderFormats="0" applyFontFormats="0" applyPatternFormats="0" applyAlignmentFormats="0" applyWidthHeightFormats="1" dataCaption="Values" tag="d2326115-f69b-4ddd-afb9-c43d4aaf6c43" updatedVersion="8" minRefreshableVersion="3" subtotalHiddenItems="1" itemPrintTitles="1" createdVersion="5" indent="0" outline="1" outlineData="1" multipleFieldFilters="0" chartFormat="49">
  <location ref="H47:I7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2"/>
  </dataFields>
  <formats count="1">
    <format dxfId="307">
      <pivotArea outline="0" collapsedLevelsAreSubtotals="1" fieldPosition="0"/>
    </format>
  </formats>
  <chartFormats count="5">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E16736-46C6-4517-9148-965FEFFF5B4C}" name="PivotTable5" cacheId="1225" applyNumberFormats="0" applyBorderFormats="0" applyFontFormats="0" applyPatternFormats="0" applyAlignmentFormats="0" applyWidthHeightFormats="1" dataCaption="Values" tag="d2326115-f69b-4ddd-afb9-c43d4aaf6c43" updatedVersion="8" minRefreshableVersion="3" subtotalHiddenItems="1" itemPrintTitles="1" createdVersion="5" indent="0" outline="1" outlineData="1" multipleFieldFilters="0" chartFormat="38">
  <location ref="A24:B5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08">
      <pivotArea outline="0" collapsedLevelsAreSubtotals="1" fieldPosition="0"/>
    </format>
  </formats>
  <chartFormats count="4">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755432-DAB1-4618-8404-10D07DD07036}" name="PivotTable4" cacheId="1222" applyNumberFormats="0" applyBorderFormats="0" applyFontFormats="0" applyPatternFormats="0" applyAlignmentFormats="0" applyWidthHeightFormats="1" dataCaption="Values" tag="d2326115-f69b-4ddd-afb9-c43d4aaf6c43" updatedVersion="8" minRefreshableVersion="3" subtotalHiddenItems="1" itemPrintTitles="1" createdVersion="5" indent="0" outline="1" outlineData="1" multipleFieldFilters="0" chartFormat="28">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1"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9D9E68-2CDF-4290-B3F6-F5057C1DE8E8}" name="PivotTable3" cacheId="1219" applyNumberFormats="0" applyBorderFormats="0" applyFontFormats="0" applyPatternFormats="0" applyAlignmentFormats="0" applyWidthHeightFormats="1" dataCaption="Values" tag="2e9b5b07-7ec6-43f9-85b3-d2c454019f86"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09">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D7A978-A56C-4167-9E7E-2FC80081CEDE}" name="PivotTable2" cacheId="1216" applyNumberFormats="0" applyBorderFormats="0" applyFontFormats="0" applyPatternFormats="0" applyAlignmentFormats="0" applyWidthHeightFormats="1" dataCaption="Values" tag="6115f0a9-1fcb-429f-aef6-cb8d6b907736"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10">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FCFBE44-4FC1-466E-866F-FEAAE40E7473}"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4062407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317BCCE-86E5-4AA8-97E3-AB285F41DA6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062407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938F342-3E97-4F4E-9629-C1817320FE11}" cache="Slicer_Date__Month" caption="Date (Month)" level="1" rowHeight="249238"/>
  <slicer name="Date (Year)" xr10:uid="{21435BDD-BCAC-4BE4-87A1-B04D08493DDB}" cache="Slicer_Date__Year" caption="Date (Year)"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9562435-FA7F-45C5-B106-2BFD9943209D}" cache="Slicer_Date__Month" caption="Date (Month)" showCaption="0" level="1" style="My style" rowHeight="208800"/>
  <slicer name="Date (Year) 1" xr10:uid="{DB6B2002-4B69-4388-A4BA-9E8838C16C18}" cache="Slicer_Date__Year" caption="Date (Year)" columnCount="2" showCaption="0" level="1" style="SlicerStyleDark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FF11-832A-46C8-B106-614E123E1FAD}">
  <dimension ref="A4:BE78"/>
  <sheetViews>
    <sheetView topLeftCell="AM1" zoomScale="47" workbookViewId="0">
      <selection activeCell="BE11" sqref="BE10:BE11"/>
    </sheetView>
  </sheetViews>
  <sheetFormatPr defaultRowHeight="14.25" x14ac:dyDescent="0.45"/>
  <cols>
    <col min="1" max="1" width="21.9296875" customWidth="1"/>
    <col min="3" max="3" width="16.33203125" customWidth="1"/>
    <col min="4" max="4" width="9.9296875" bestFit="1" customWidth="1"/>
    <col min="16" max="16" width="17.9296875" customWidth="1"/>
    <col min="17" max="17" width="14.6640625" customWidth="1"/>
    <col min="18" max="18" width="16.19921875" customWidth="1"/>
    <col min="22" max="23" width="9.06640625" customWidth="1"/>
    <col min="31" max="31" width="17.265625" customWidth="1"/>
    <col min="48" max="48" width="18.19921875" customWidth="1"/>
  </cols>
  <sheetData>
    <row r="4" spans="1:57" x14ac:dyDescent="0.45">
      <c r="A4" t="s">
        <v>1</v>
      </c>
      <c r="D4" t="s">
        <v>6</v>
      </c>
    </row>
    <row r="5" spans="1:57" x14ac:dyDescent="0.45">
      <c r="A5" t="s">
        <v>0</v>
      </c>
      <c r="D5" s="1" t="s">
        <v>4</v>
      </c>
      <c r="E5" t="s">
        <v>0</v>
      </c>
    </row>
    <row r="6" spans="1:57" x14ac:dyDescent="0.45">
      <c r="A6" s="13">
        <v>480</v>
      </c>
      <c r="D6" s="4" t="s">
        <v>21</v>
      </c>
      <c r="E6" s="13">
        <v>20</v>
      </c>
      <c r="P6" s="1" t="s">
        <v>4</v>
      </c>
      <c r="Q6" t="s">
        <v>14</v>
      </c>
      <c r="R6" t="s">
        <v>17</v>
      </c>
      <c r="V6" t="s">
        <v>61</v>
      </c>
      <c r="AE6" t="s">
        <v>65</v>
      </c>
      <c r="AN6" t="s">
        <v>68</v>
      </c>
    </row>
    <row r="7" spans="1:57" x14ac:dyDescent="0.45">
      <c r="D7" s="4" t="s">
        <v>22</v>
      </c>
      <c r="E7" s="13">
        <v>16</v>
      </c>
      <c r="P7" s="4" t="s">
        <v>15</v>
      </c>
      <c r="Q7" s="14">
        <v>229</v>
      </c>
      <c r="R7" s="15">
        <v>0.47708333333333336</v>
      </c>
      <c r="V7" s="1" t="s">
        <v>4</v>
      </c>
      <c r="W7" t="s">
        <v>52</v>
      </c>
      <c r="AE7" s="1" t="s">
        <v>4</v>
      </c>
      <c r="AF7" t="s">
        <v>13</v>
      </c>
      <c r="AN7" s="1" t="s">
        <v>4</v>
      </c>
      <c r="AO7" t="s">
        <v>62</v>
      </c>
    </row>
    <row r="8" spans="1:57" x14ac:dyDescent="0.45">
      <c r="D8" s="4" t="s">
        <v>23</v>
      </c>
      <c r="E8" s="13">
        <v>20</v>
      </c>
      <c r="P8" s="4" t="s">
        <v>16</v>
      </c>
      <c r="Q8" s="14">
        <v>251</v>
      </c>
      <c r="R8" s="15">
        <v>0.5229166666666667</v>
      </c>
      <c r="V8" s="4" t="s">
        <v>53</v>
      </c>
      <c r="W8" s="14">
        <v>63</v>
      </c>
      <c r="AE8" s="4" t="s">
        <v>63</v>
      </c>
      <c r="AF8" s="14">
        <v>267</v>
      </c>
      <c r="AN8" s="4" t="s">
        <v>66</v>
      </c>
      <c r="AO8" s="14">
        <v>261</v>
      </c>
      <c r="AV8" t="s">
        <v>78</v>
      </c>
      <c r="BE8" t="s">
        <v>80</v>
      </c>
    </row>
    <row r="9" spans="1:57" x14ac:dyDescent="0.45">
      <c r="D9" s="4" t="s">
        <v>24</v>
      </c>
      <c r="E9" s="13">
        <v>16</v>
      </c>
      <c r="P9" s="4" t="s">
        <v>5</v>
      </c>
      <c r="Q9" s="2">
        <v>480</v>
      </c>
      <c r="R9" s="15">
        <v>1</v>
      </c>
      <c r="V9" s="4" t="s">
        <v>54</v>
      </c>
      <c r="W9" s="14">
        <v>49</v>
      </c>
      <c r="AE9" s="4" t="s">
        <v>64</v>
      </c>
      <c r="AF9" s="14">
        <v>213</v>
      </c>
      <c r="AN9" s="4" t="s">
        <v>67</v>
      </c>
      <c r="AO9" s="14">
        <v>219</v>
      </c>
      <c r="AV9" s="1" t="s">
        <v>4</v>
      </c>
      <c r="AW9" t="s">
        <v>77</v>
      </c>
      <c r="BE9" s="1" t="s">
        <v>4</v>
      </c>
    </row>
    <row r="10" spans="1:57" x14ac:dyDescent="0.45">
      <c r="A10" t="s">
        <v>2</v>
      </c>
      <c r="D10" s="4" t="s">
        <v>25</v>
      </c>
      <c r="E10" s="13">
        <v>18</v>
      </c>
      <c r="V10" s="4" t="s">
        <v>55</v>
      </c>
      <c r="W10" s="14">
        <v>57</v>
      </c>
      <c r="AE10" s="4" t="s">
        <v>5</v>
      </c>
      <c r="AF10" s="2">
        <v>480</v>
      </c>
      <c r="AN10" s="4" t="s">
        <v>5</v>
      </c>
      <c r="AO10" s="2">
        <v>480</v>
      </c>
      <c r="AV10" s="4" t="s">
        <v>76</v>
      </c>
      <c r="AW10" s="14">
        <v>6</v>
      </c>
      <c r="BE10" s="4" t="s">
        <v>79</v>
      </c>
    </row>
    <row r="11" spans="1:57" x14ac:dyDescent="0.45">
      <c r="A11" s="2">
        <v>34.429166666666667</v>
      </c>
      <c r="D11" s="4" t="s">
        <v>26</v>
      </c>
      <c r="E11" s="13">
        <v>16</v>
      </c>
      <c r="V11" s="4" t="s">
        <v>56</v>
      </c>
      <c r="W11" s="14">
        <v>73</v>
      </c>
      <c r="AV11" s="4" t="s">
        <v>72</v>
      </c>
      <c r="AW11" s="14">
        <v>11</v>
      </c>
      <c r="BE11" s="4" t="s">
        <v>5</v>
      </c>
    </row>
    <row r="12" spans="1:57" x14ac:dyDescent="0.45">
      <c r="D12" s="4" t="s">
        <v>27</v>
      </c>
      <c r="E12" s="13">
        <v>15</v>
      </c>
      <c r="P12" s="17" t="s">
        <v>18</v>
      </c>
      <c r="Q12" s="18" t="s">
        <v>20</v>
      </c>
      <c r="R12" s="18" t="s">
        <v>19</v>
      </c>
      <c r="S12" s="16"/>
      <c r="V12" s="4" t="s">
        <v>57</v>
      </c>
      <c r="W12" s="14">
        <v>63</v>
      </c>
      <c r="AV12" s="4" t="s">
        <v>69</v>
      </c>
      <c r="AW12" s="14">
        <v>12</v>
      </c>
    </row>
    <row r="13" spans="1:57" x14ac:dyDescent="0.45">
      <c r="D13" s="4" t="s">
        <v>28</v>
      </c>
      <c r="E13" s="13">
        <v>20</v>
      </c>
      <c r="P13" s="19" t="str">
        <f>P8</f>
        <v>Not Admitted</v>
      </c>
      <c r="Q13" s="19">
        <f>Q8</f>
        <v>251</v>
      </c>
      <c r="R13" s="20">
        <f>R8</f>
        <v>0.5229166666666667</v>
      </c>
      <c r="S13" s="21"/>
      <c r="V13" s="4" t="s">
        <v>58</v>
      </c>
      <c r="W13" s="14">
        <v>60</v>
      </c>
      <c r="AV13" s="4" t="s">
        <v>70</v>
      </c>
      <c r="AW13" s="14">
        <v>12</v>
      </c>
    </row>
    <row r="14" spans="1:57" x14ac:dyDescent="0.45">
      <c r="D14" s="4" t="s">
        <v>29</v>
      </c>
      <c r="E14" s="13">
        <v>20</v>
      </c>
      <c r="P14" s="19" t="str">
        <f>P7</f>
        <v>Admitted</v>
      </c>
      <c r="Q14" s="19">
        <f>Q7</f>
        <v>229</v>
      </c>
      <c r="R14" s="20">
        <f>R7</f>
        <v>0.47708333333333336</v>
      </c>
      <c r="S14" s="21"/>
      <c r="V14" s="4" t="s">
        <v>59</v>
      </c>
      <c r="W14" s="14">
        <v>57</v>
      </c>
      <c r="AV14" s="4" t="s">
        <v>75</v>
      </c>
      <c r="AW14" s="14">
        <v>20</v>
      </c>
    </row>
    <row r="15" spans="1:57" x14ac:dyDescent="0.45">
      <c r="A15" t="s">
        <v>3</v>
      </c>
      <c r="D15" s="4" t="s">
        <v>30</v>
      </c>
      <c r="E15" s="13">
        <v>13</v>
      </c>
      <c r="V15" s="4" t="s">
        <v>60</v>
      </c>
      <c r="W15" s="14">
        <v>58</v>
      </c>
      <c r="AV15" s="4" t="s">
        <v>74</v>
      </c>
      <c r="AW15" s="14">
        <v>35</v>
      </c>
    </row>
    <row r="16" spans="1:57" x14ac:dyDescent="0.45">
      <c r="A16" s="2">
        <v>5.1640625</v>
      </c>
      <c r="D16" s="4" t="s">
        <v>31</v>
      </c>
      <c r="E16" s="13">
        <v>18</v>
      </c>
      <c r="V16" s="4" t="s">
        <v>5</v>
      </c>
      <c r="W16" s="2">
        <v>480</v>
      </c>
      <c r="AV16" s="4" t="s">
        <v>71</v>
      </c>
      <c r="AW16" s="14">
        <v>93</v>
      </c>
    </row>
    <row r="17" spans="1:49" x14ac:dyDescent="0.45">
      <c r="D17" s="4" t="s">
        <v>32</v>
      </c>
      <c r="E17" s="13">
        <v>11</v>
      </c>
      <c r="AV17" s="4" t="s">
        <v>73</v>
      </c>
      <c r="AW17" s="14">
        <v>291</v>
      </c>
    </row>
    <row r="18" spans="1:49" x14ac:dyDescent="0.45">
      <c r="D18" s="4" t="s">
        <v>33</v>
      </c>
      <c r="E18" s="13">
        <v>13</v>
      </c>
      <c r="AV18" s="4" t="s">
        <v>5</v>
      </c>
      <c r="AW18" s="2">
        <v>480</v>
      </c>
    </row>
    <row r="19" spans="1:49" x14ac:dyDescent="0.45">
      <c r="D19" s="4" t="s">
        <v>34</v>
      </c>
      <c r="E19" s="13">
        <v>14</v>
      </c>
    </row>
    <row r="20" spans="1:49" x14ac:dyDescent="0.45">
      <c r="D20" s="4" t="s">
        <v>35</v>
      </c>
      <c r="E20" s="13">
        <v>7</v>
      </c>
    </row>
    <row r="21" spans="1:49" x14ac:dyDescent="0.45">
      <c r="D21" s="4" t="s">
        <v>36</v>
      </c>
      <c r="E21" s="13">
        <v>21</v>
      </c>
    </row>
    <row r="22" spans="1:49" x14ac:dyDescent="0.45">
      <c r="D22" s="4" t="s">
        <v>37</v>
      </c>
      <c r="E22" s="13">
        <v>16</v>
      </c>
    </row>
    <row r="23" spans="1:49" x14ac:dyDescent="0.45">
      <c r="A23" t="s">
        <v>7</v>
      </c>
      <c r="D23" s="4" t="s">
        <v>38</v>
      </c>
      <c r="E23" s="13">
        <v>15</v>
      </c>
    </row>
    <row r="24" spans="1:49" x14ac:dyDescent="0.45">
      <c r="A24" s="1" t="s">
        <v>4</v>
      </c>
      <c r="B24" t="s">
        <v>2</v>
      </c>
      <c r="D24" s="4" t="s">
        <v>39</v>
      </c>
      <c r="E24" s="13">
        <v>15</v>
      </c>
    </row>
    <row r="25" spans="1:49" x14ac:dyDescent="0.45">
      <c r="A25" s="4" t="s">
        <v>21</v>
      </c>
      <c r="B25" s="2">
        <v>31.5</v>
      </c>
      <c r="D25" s="4" t="s">
        <v>40</v>
      </c>
      <c r="E25" s="13">
        <v>14</v>
      </c>
    </row>
    <row r="26" spans="1:49" x14ac:dyDescent="0.45">
      <c r="A26" s="4" t="s">
        <v>22</v>
      </c>
      <c r="B26" s="2">
        <v>34.25</v>
      </c>
      <c r="D26" s="4" t="s">
        <v>41</v>
      </c>
      <c r="E26" s="13">
        <v>16</v>
      </c>
    </row>
    <row r="27" spans="1:49" x14ac:dyDescent="0.45">
      <c r="A27" s="4" t="s">
        <v>23</v>
      </c>
      <c r="B27" s="2">
        <v>41.1</v>
      </c>
      <c r="D27" s="4" t="s">
        <v>42</v>
      </c>
      <c r="E27" s="13">
        <v>21</v>
      </c>
    </row>
    <row r="28" spans="1:49" x14ac:dyDescent="0.45">
      <c r="A28" s="4" t="s">
        <v>24</v>
      </c>
      <c r="B28" s="2">
        <v>31</v>
      </c>
      <c r="D28" s="4" t="s">
        <v>43</v>
      </c>
      <c r="E28" s="13">
        <v>13</v>
      </c>
    </row>
    <row r="29" spans="1:49" x14ac:dyDescent="0.45">
      <c r="A29" s="4" t="s">
        <v>25</v>
      </c>
      <c r="B29" s="2">
        <v>33.666666666666664</v>
      </c>
      <c r="D29" s="4" t="s">
        <v>44</v>
      </c>
      <c r="E29" s="13">
        <v>11</v>
      </c>
    </row>
    <row r="30" spans="1:49" x14ac:dyDescent="0.45">
      <c r="A30" s="4" t="s">
        <v>26</v>
      </c>
      <c r="B30" s="2">
        <v>34.5625</v>
      </c>
      <c r="D30" s="4" t="s">
        <v>45</v>
      </c>
      <c r="E30" s="13">
        <v>16</v>
      </c>
    </row>
    <row r="31" spans="1:49" x14ac:dyDescent="0.45">
      <c r="A31" s="4" t="s">
        <v>27</v>
      </c>
      <c r="B31" s="2">
        <v>34.93333333333333</v>
      </c>
      <c r="D31" s="4" t="s">
        <v>46</v>
      </c>
      <c r="E31" s="13">
        <v>11</v>
      </c>
    </row>
    <row r="32" spans="1:49" x14ac:dyDescent="0.45">
      <c r="A32" s="4" t="s">
        <v>28</v>
      </c>
      <c r="B32" s="2">
        <v>36.4</v>
      </c>
      <c r="D32" s="4" t="s">
        <v>47</v>
      </c>
      <c r="E32" s="13">
        <v>14</v>
      </c>
    </row>
    <row r="33" spans="1:9" x14ac:dyDescent="0.45">
      <c r="A33" s="4" t="s">
        <v>29</v>
      </c>
      <c r="B33" s="2">
        <v>35.549999999999997</v>
      </c>
      <c r="D33" s="4" t="s">
        <v>48</v>
      </c>
      <c r="E33" s="13">
        <v>10</v>
      </c>
    </row>
    <row r="34" spans="1:9" x14ac:dyDescent="0.45">
      <c r="A34" s="4" t="s">
        <v>30</v>
      </c>
      <c r="B34" s="2">
        <v>30.692307692307693</v>
      </c>
      <c r="D34" s="4" t="s">
        <v>49</v>
      </c>
      <c r="E34" s="13">
        <v>15</v>
      </c>
    </row>
    <row r="35" spans="1:9" x14ac:dyDescent="0.45">
      <c r="A35" s="4" t="s">
        <v>31</v>
      </c>
      <c r="B35" s="2">
        <v>33.611111111111114</v>
      </c>
      <c r="D35" s="4" t="s">
        <v>50</v>
      </c>
      <c r="E35" s="13">
        <v>24</v>
      </c>
    </row>
    <row r="36" spans="1:9" x14ac:dyDescent="0.45">
      <c r="A36" s="4" t="s">
        <v>32</v>
      </c>
      <c r="B36" s="2">
        <v>37.81818181818182</v>
      </c>
      <c r="D36" s="4" t="s">
        <v>51</v>
      </c>
      <c r="E36" s="13">
        <v>11</v>
      </c>
    </row>
    <row r="37" spans="1:9" x14ac:dyDescent="0.45">
      <c r="A37" s="4" t="s">
        <v>33</v>
      </c>
      <c r="B37" s="2">
        <v>40</v>
      </c>
      <c r="D37" s="4" t="s">
        <v>5</v>
      </c>
      <c r="E37" s="13">
        <v>480</v>
      </c>
    </row>
    <row r="38" spans="1:9" x14ac:dyDescent="0.45">
      <c r="A38" s="4" t="s">
        <v>34</v>
      </c>
      <c r="B38" s="2">
        <v>32</v>
      </c>
    </row>
    <row r="39" spans="1:9" x14ac:dyDescent="0.45">
      <c r="A39" s="4" t="s">
        <v>35</v>
      </c>
      <c r="B39" s="2">
        <v>31.857142857142858</v>
      </c>
    </row>
    <row r="40" spans="1:9" x14ac:dyDescent="0.45">
      <c r="A40" s="4" t="s">
        <v>36</v>
      </c>
      <c r="B40" s="2">
        <v>31.142857142857142</v>
      </c>
    </row>
    <row r="41" spans="1:9" x14ac:dyDescent="0.45">
      <c r="A41" s="4" t="s">
        <v>37</v>
      </c>
      <c r="B41" s="2">
        <v>29.5</v>
      </c>
    </row>
    <row r="42" spans="1:9" x14ac:dyDescent="0.45">
      <c r="A42" s="4" t="s">
        <v>38</v>
      </c>
      <c r="B42" s="2">
        <v>30.666666666666668</v>
      </c>
    </row>
    <row r="43" spans="1:9" x14ac:dyDescent="0.45">
      <c r="A43" s="4" t="s">
        <v>39</v>
      </c>
      <c r="B43" s="2">
        <v>39.06666666666667</v>
      </c>
    </row>
    <row r="44" spans="1:9" x14ac:dyDescent="0.45">
      <c r="A44" s="4" t="s">
        <v>40</v>
      </c>
      <c r="B44" s="2">
        <v>32.857142857142854</v>
      </c>
    </row>
    <row r="45" spans="1:9" x14ac:dyDescent="0.45">
      <c r="A45" s="4" t="s">
        <v>41</v>
      </c>
      <c r="B45" s="2">
        <v>38.3125</v>
      </c>
    </row>
    <row r="46" spans="1:9" x14ac:dyDescent="0.45">
      <c r="A46" s="4" t="s">
        <v>42</v>
      </c>
      <c r="B46" s="2">
        <v>35.80952380952381</v>
      </c>
      <c r="H46" t="s">
        <v>12</v>
      </c>
    </row>
    <row r="47" spans="1:9" x14ac:dyDescent="0.45">
      <c r="A47" s="4" t="s">
        <v>43</v>
      </c>
      <c r="B47" s="2">
        <v>33.153846153846153</v>
      </c>
      <c r="H47" s="1" t="s">
        <v>4</v>
      </c>
      <c r="I47" t="s">
        <v>3</v>
      </c>
    </row>
    <row r="48" spans="1:9" x14ac:dyDescent="0.45">
      <c r="A48" s="4" t="s">
        <v>44</v>
      </c>
      <c r="B48" s="2">
        <v>39.18181818181818</v>
      </c>
      <c r="H48" s="4" t="s">
        <v>21</v>
      </c>
      <c r="I48" s="2">
        <v>5.5</v>
      </c>
    </row>
    <row r="49" spans="1:9" x14ac:dyDescent="0.45">
      <c r="A49" s="4" t="s">
        <v>45</v>
      </c>
      <c r="B49" s="2">
        <v>36.3125</v>
      </c>
      <c r="H49" s="4" t="s">
        <v>22</v>
      </c>
      <c r="I49" s="2">
        <v>3.3333333333333335</v>
      </c>
    </row>
    <row r="50" spans="1:9" x14ac:dyDescent="0.45">
      <c r="A50" s="4" t="s">
        <v>46</v>
      </c>
      <c r="B50" s="2">
        <v>33</v>
      </c>
      <c r="H50" s="4" t="s">
        <v>23</v>
      </c>
      <c r="I50" s="2">
        <v>6</v>
      </c>
    </row>
    <row r="51" spans="1:9" x14ac:dyDescent="0.45">
      <c r="A51" s="4" t="s">
        <v>47</v>
      </c>
      <c r="B51" s="2">
        <v>32.857142857142854</v>
      </c>
      <c r="H51" s="4" t="s">
        <v>24</v>
      </c>
      <c r="I51" s="2">
        <v>4.8</v>
      </c>
    </row>
    <row r="52" spans="1:9" x14ac:dyDescent="0.45">
      <c r="A52" s="4" t="s">
        <v>48</v>
      </c>
      <c r="B52" s="2">
        <v>36.799999999999997</v>
      </c>
      <c r="H52" s="4" t="s">
        <v>25</v>
      </c>
      <c r="I52" s="2">
        <v>5.5</v>
      </c>
    </row>
    <row r="53" spans="1:9" x14ac:dyDescent="0.45">
      <c r="A53" s="4" t="s">
        <v>49</v>
      </c>
      <c r="B53" s="2">
        <v>32.866666666666667</v>
      </c>
      <c r="H53" s="4" t="s">
        <v>26</v>
      </c>
      <c r="I53" s="2">
        <v>5.25</v>
      </c>
    </row>
    <row r="54" spans="1:9" x14ac:dyDescent="0.45">
      <c r="A54" s="4" t="s">
        <v>50</v>
      </c>
      <c r="B54" s="2">
        <v>32.375</v>
      </c>
      <c r="H54" s="4" t="s">
        <v>27</v>
      </c>
      <c r="I54" s="2">
        <v>4.8</v>
      </c>
    </row>
    <row r="55" spans="1:9" x14ac:dyDescent="0.45">
      <c r="A55" s="4" t="s">
        <v>51</v>
      </c>
      <c r="B55" s="2">
        <v>36</v>
      </c>
      <c r="H55" s="4" t="s">
        <v>28</v>
      </c>
      <c r="I55" s="2">
        <v>4.5</v>
      </c>
    </row>
    <row r="56" spans="1:9" x14ac:dyDescent="0.45">
      <c r="A56" s="4" t="s">
        <v>5</v>
      </c>
      <c r="B56" s="2">
        <v>34.429166666666667</v>
      </c>
      <c r="H56" s="4" t="s">
        <v>29</v>
      </c>
      <c r="I56" s="2">
        <v>5</v>
      </c>
    </row>
    <row r="57" spans="1:9" x14ac:dyDescent="0.45">
      <c r="H57" s="4" t="s">
        <v>30</v>
      </c>
      <c r="I57" s="2">
        <v>5.333333333333333</v>
      </c>
    </row>
    <row r="58" spans="1:9" x14ac:dyDescent="0.45">
      <c r="H58" s="4" t="s">
        <v>31</v>
      </c>
      <c r="I58" s="2">
        <v>4.4000000000000004</v>
      </c>
    </row>
    <row r="59" spans="1:9" x14ac:dyDescent="0.45">
      <c r="H59" s="4" t="s">
        <v>32</v>
      </c>
      <c r="I59" s="2">
        <v>3.25</v>
      </c>
    </row>
    <row r="60" spans="1:9" x14ac:dyDescent="0.45">
      <c r="H60" s="4" t="s">
        <v>33</v>
      </c>
      <c r="I60" s="2">
        <v>6</v>
      </c>
    </row>
    <row r="61" spans="1:9" x14ac:dyDescent="0.45">
      <c r="H61" s="4" t="s">
        <v>34</v>
      </c>
      <c r="I61" s="2">
        <v>3.3333333333333335</v>
      </c>
    </row>
    <row r="62" spans="1:9" x14ac:dyDescent="0.45">
      <c r="H62" s="4" t="s">
        <v>36</v>
      </c>
      <c r="I62" s="2">
        <v>6.7</v>
      </c>
    </row>
    <row r="63" spans="1:9" x14ac:dyDescent="0.45">
      <c r="H63" s="4" t="s">
        <v>37</v>
      </c>
      <c r="I63" s="2">
        <v>7.75</v>
      </c>
    </row>
    <row r="64" spans="1:9" x14ac:dyDescent="0.45">
      <c r="H64" s="4" t="s">
        <v>38</v>
      </c>
      <c r="I64" s="2">
        <v>5.5</v>
      </c>
    </row>
    <row r="65" spans="8:9" x14ac:dyDescent="0.45">
      <c r="H65" s="4" t="s">
        <v>39</v>
      </c>
      <c r="I65" s="2">
        <v>4.5</v>
      </c>
    </row>
    <row r="66" spans="8:9" x14ac:dyDescent="0.45">
      <c r="H66" s="4" t="s">
        <v>40</v>
      </c>
      <c r="I66" s="2">
        <v>6</v>
      </c>
    </row>
    <row r="67" spans="8:9" x14ac:dyDescent="0.45">
      <c r="H67" s="4" t="s">
        <v>41</v>
      </c>
      <c r="I67" s="2">
        <v>5.75</v>
      </c>
    </row>
    <row r="68" spans="8:9" x14ac:dyDescent="0.45">
      <c r="H68" s="4" t="s">
        <v>42</v>
      </c>
      <c r="I68" s="2">
        <v>3.1428571428571428</v>
      </c>
    </row>
    <row r="69" spans="8:9" x14ac:dyDescent="0.45">
      <c r="H69" s="4" t="s">
        <v>43</v>
      </c>
      <c r="I69" s="2">
        <v>4</v>
      </c>
    </row>
    <row r="70" spans="8:9" x14ac:dyDescent="0.45">
      <c r="H70" s="4" t="s">
        <v>44</v>
      </c>
      <c r="I70" s="2">
        <v>6.5</v>
      </c>
    </row>
    <row r="71" spans="8:9" x14ac:dyDescent="0.45">
      <c r="H71" s="4" t="s">
        <v>45</v>
      </c>
      <c r="I71" s="2">
        <v>4</v>
      </c>
    </row>
    <row r="72" spans="8:9" x14ac:dyDescent="0.45">
      <c r="H72" s="4" t="s">
        <v>46</v>
      </c>
      <c r="I72" s="2">
        <v>7.333333333333333</v>
      </c>
    </row>
    <row r="73" spans="8:9" x14ac:dyDescent="0.45">
      <c r="H73" s="4" t="s">
        <v>47</v>
      </c>
      <c r="I73" s="2">
        <v>5.333333333333333</v>
      </c>
    </row>
    <row r="74" spans="8:9" x14ac:dyDescent="0.45">
      <c r="H74" s="4" t="s">
        <v>48</v>
      </c>
      <c r="I74" s="2">
        <v>4.75</v>
      </c>
    </row>
    <row r="75" spans="8:9" x14ac:dyDescent="0.45">
      <c r="H75" s="4" t="s">
        <v>49</v>
      </c>
      <c r="I75" s="2">
        <v>4</v>
      </c>
    </row>
    <row r="76" spans="8:9" x14ac:dyDescent="0.45">
      <c r="H76" s="4" t="s">
        <v>50</v>
      </c>
      <c r="I76" s="2">
        <v>4</v>
      </c>
    </row>
    <row r="77" spans="8:9" x14ac:dyDescent="0.45">
      <c r="H77" s="4" t="s">
        <v>51</v>
      </c>
      <c r="I77" s="2">
        <v>8.3333333333333339</v>
      </c>
    </row>
    <row r="78" spans="8:9" x14ac:dyDescent="0.45">
      <c r="H78" s="4" t="s">
        <v>5</v>
      </c>
      <c r="I78" s="2">
        <v>5.1640625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30F1-5145-4EEF-B01E-8C93FE96FD89}">
  <dimension ref="A1:N22"/>
  <sheetViews>
    <sheetView tabSelected="1" zoomScaleNormal="100" workbookViewId="0">
      <selection activeCell="P21" sqref="P21"/>
    </sheetView>
  </sheetViews>
  <sheetFormatPr defaultRowHeight="14.25" x14ac:dyDescent="0.45"/>
  <cols>
    <col min="14" max="14" width="3.06640625" customWidth="1"/>
  </cols>
  <sheetData>
    <row r="1" spans="1:14" x14ac:dyDescent="0.45">
      <c r="A1" s="3"/>
      <c r="B1" s="3"/>
      <c r="C1" s="3"/>
      <c r="D1" s="3"/>
      <c r="E1" s="3"/>
      <c r="F1" s="3"/>
      <c r="G1" s="3"/>
      <c r="H1" s="3"/>
      <c r="I1" s="3"/>
      <c r="J1" s="3"/>
      <c r="K1" s="3"/>
      <c r="L1" s="3"/>
      <c r="M1" s="3"/>
      <c r="N1" s="3"/>
    </row>
    <row r="2" spans="1:14" x14ac:dyDescent="0.45">
      <c r="A2" s="3"/>
      <c r="B2" s="3"/>
      <c r="C2" s="3"/>
      <c r="D2" s="3"/>
      <c r="E2" s="3"/>
      <c r="F2" s="3"/>
      <c r="G2" s="3"/>
      <c r="H2" s="3"/>
      <c r="I2" s="3"/>
      <c r="J2" s="3"/>
      <c r="K2" s="3"/>
      <c r="L2" s="3"/>
      <c r="M2" s="3"/>
      <c r="N2" s="3"/>
    </row>
    <row r="3" spans="1:14" x14ac:dyDescent="0.45">
      <c r="A3" s="3"/>
      <c r="B3" s="3"/>
      <c r="C3" s="3"/>
      <c r="D3" s="3"/>
      <c r="E3" s="3"/>
      <c r="F3" s="3"/>
      <c r="G3" s="3"/>
      <c r="H3" s="3"/>
      <c r="I3" s="3"/>
      <c r="J3" s="3"/>
      <c r="K3" s="3"/>
      <c r="L3" s="3"/>
      <c r="M3" s="3"/>
      <c r="N3" s="3"/>
    </row>
    <row r="4" spans="1:14" x14ac:dyDescent="0.45">
      <c r="A4" s="3"/>
      <c r="B4" s="3"/>
      <c r="C4" s="3"/>
      <c r="D4" s="3"/>
      <c r="E4" s="3"/>
      <c r="F4" s="3"/>
      <c r="G4" s="3"/>
      <c r="H4" s="3"/>
      <c r="I4" s="3"/>
      <c r="J4" s="3"/>
      <c r="K4" s="3"/>
      <c r="L4" s="3"/>
      <c r="M4" s="3"/>
      <c r="N4" s="3"/>
    </row>
    <row r="5" spans="1:14" x14ac:dyDescent="0.45">
      <c r="A5" s="3"/>
      <c r="B5" s="3"/>
      <c r="C5" s="3"/>
      <c r="D5" s="3"/>
      <c r="E5" s="3"/>
      <c r="F5" s="3"/>
      <c r="G5" s="3"/>
      <c r="H5" s="3"/>
      <c r="I5" s="3"/>
      <c r="J5" s="3"/>
      <c r="K5" s="3"/>
      <c r="L5" s="3"/>
      <c r="M5" s="3"/>
      <c r="N5" s="3"/>
    </row>
    <row r="6" spans="1:14" x14ac:dyDescent="0.45">
      <c r="A6" s="3"/>
      <c r="B6" s="3"/>
      <c r="C6" s="3"/>
      <c r="D6" s="3"/>
      <c r="E6" s="3"/>
      <c r="F6" s="3"/>
      <c r="G6" s="3"/>
      <c r="H6" s="3"/>
      <c r="I6" s="3"/>
      <c r="J6" s="3"/>
      <c r="K6" s="3"/>
      <c r="L6" s="3"/>
      <c r="M6" s="3"/>
      <c r="N6" s="3"/>
    </row>
    <row r="7" spans="1:14" x14ac:dyDescent="0.45">
      <c r="A7" s="3"/>
      <c r="B7" s="3"/>
      <c r="C7" s="3"/>
      <c r="D7" s="3"/>
      <c r="E7" s="3"/>
      <c r="F7" s="3"/>
      <c r="G7" s="3"/>
      <c r="H7" s="3"/>
      <c r="I7" s="3"/>
      <c r="J7" s="3"/>
      <c r="K7" s="3"/>
      <c r="L7" s="3"/>
      <c r="M7" s="3"/>
      <c r="N7" s="3"/>
    </row>
    <row r="8" spans="1:14" x14ac:dyDescent="0.45">
      <c r="A8" s="3"/>
      <c r="B8" s="3"/>
      <c r="C8" s="3"/>
      <c r="D8" s="3"/>
      <c r="E8" s="3"/>
      <c r="F8" s="3"/>
      <c r="G8" s="3"/>
      <c r="H8" s="3"/>
      <c r="I8" s="3"/>
      <c r="J8" s="3"/>
      <c r="K8" s="3"/>
      <c r="L8" s="3"/>
      <c r="M8" s="3"/>
      <c r="N8" s="3"/>
    </row>
    <row r="9" spans="1:14" x14ac:dyDescent="0.45">
      <c r="A9" s="3"/>
      <c r="B9" s="3"/>
      <c r="C9" s="3"/>
      <c r="D9" s="3"/>
      <c r="E9" s="3"/>
      <c r="F9" s="3"/>
      <c r="G9" s="3"/>
      <c r="H9" s="3"/>
      <c r="I9" s="3"/>
      <c r="J9" s="3"/>
      <c r="K9" s="3"/>
      <c r="L9" s="3"/>
      <c r="M9" s="3"/>
      <c r="N9" s="3"/>
    </row>
    <row r="10" spans="1:14" x14ac:dyDescent="0.45">
      <c r="A10" s="3"/>
      <c r="B10" s="3"/>
      <c r="C10" s="3"/>
      <c r="D10" s="3"/>
      <c r="E10" s="3"/>
      <c r="F10" s="3"/>
      <c r="G10" s="3"/>
      <c r="H10" s="3"/>
      <c r="I10" s="3"/>
      <c r="J10" s="3"/>
      <c r="K10" s="3"/>
      <c r="L10" s="3"/>
      <c r="M10" s="3"/>
      <c r="N10" s="3"/>
    </row>
    <row r="11" spans="1:14" x14ac:dyDescent="0.45">
      <c r="A11" s="3"/>
      <c r="B11" s="3"/>
      <c r="C11" s="3"/>
      <c r="D11" s="3"/>
      <c r="E11" s="3"/>
      <c r="F11" s="3"/>
      <c r="G11" s="3"/>
      <c r="H11" s="3"/>
      <c r="I11" s="3"/>
      <c r="J11" s="3"/>
      <c r="K11" s="3"/>
      <c r="L11" s="3"/>
      <c r="M11" s="3"/>
      <c r="N11" s="3"/>
    </row>
    <row r="12" spans="1:14" x14ac:dyDescent="0.45">
      <c r="A12" s="3"/>
      <c r="B12" s="3"/>
      <c r="C12" s="3"/>
      <c r="D12" s="3"/>
      <c r="E12" s="3"/>
      <c r="F12" s="3"/>
      <c r="G12" s="3"/>
      <c r="H12" s="3"/>
      <c r="I12" s="3"/>
      <c r="J12" s="3"/>
      <c r="K12" s="3"/>
      <c r="L12" s="3"/>
      <c r="M12" s="3"/>
      <c r="N12" s="3"/>
    </row>
    <row r="13" spans="1:14" x14ac:dyDescent="0.45">
      <c r="A13" s="3"/>
      <c r="B13" s="3"/>
      <c r="C13" s="3"/>
      <c r="D13" s="3"/>
      <c r="E13" s="3"/>
      <c r="F13" s="3"/>
      <c r="G13" s="3"/>
      <c r="H13" s="3"/>
      <c r="I13" s="3"/>
      <c r="J13" s="3"/>
      <c r="K13" s="3"/>
      <c r="L13" s="3"/>
      <c r="M13" s="3"/>
      <c r="N13" s="3"/>
    </row>
    <row r="14" spans="1:14" x14ac:dyDescent="0.45">
      <c r="A14" s="3"/>
      <c r="B14" s="3"/>
      <c r="C14" s="3"/>
      <c r="D14" s="3"/>
      <c r="E14" s="3"/>
      <c r="F14" s="3"/>
      <c r="G14" s="3"/>
      <c r="H14" s="3"/>
      <c r="I14" s="3"/>
      <c r="J14" s="3"/>
      <c r="K14" s="3"/>
      <c r="L14" s="3"/>
      <c r="M14" s="3"/>
      <c r="N14" s="3"/>
    </row>
    <row r="15" spans="1:14" x14ac:dyDescent="0.45">
      <c r="A15" s="3"/>
      <c r="B15" s="3"/>
      <c r="C15" s="3"/>
      <c r="D15" s="3"/>
      <c r="E15" s="3"/>
      <c r="F15" s="3"/>
      <c r="G15" s="3"/>
      <c r="H15" s="3"/>
      <c r="I15" s="3"/>
      <c r="J15" s="3"/>
      <c r="K15" s="3"/>
      <c r="L15" s="3"/>
      <c r="M15" s="3"/>
      <c r="N15" s="3"/>
    </row>
    <row r="16" spans="1:14" x14ac:dyDescent="0.45">
      <c r="A16" s="3"/>
      <c r="B16" s="3"/>
      <c r="C16" s="3"/>
      <c r="D16" s="3"/>
      <c r="E16" s="3"/>
      <c r="F16" s="3"/>
      <c r="G16" s="3"/>
      <c r="H16" s="3"/>
      <c r="I16" s="3"/>
      <c r="J16" s="3"/>
      <c r="K16" s="3"/>
      <c r="L16" s="3"/>
      <c r="M16" s="3"/>
      <c r="N16" s="3"/>
    </row>
    <row r="17" spans="1:14" x14ac:dyDescent="0.45">
      <c r="A17" s="3"/>
      <c r="B17" s="3"/>
      <c r="C17" s="3"/>
      <c r="D17" s="3"/>
      <c r="E17" s="3"/>
      <c r="F17" s="3"/>
      <c r="G17" s="3"/>
      <c r="H17" s="3"/>
      <c r="I17" s="3"/>
      <c r="J17" s="3"/>
      <c r="K17" s="3"/>
      <c r="L17" s="3"/>
      <c r="M17" s="3"/>
      <c r="N17" s="3"/>
    </row>
    <row r="18" spans="1:14" x14ac:dyDescent="0.45">
      <c r="A18" s="3"/>
      <c r="B18" s="3"/>
      <c r="C18" s="3"/>
      <c r="D18" s="3"/>
      <c r="E18" s="3"/>
      <c r="F18" s="3"/>
      <c r="G18" s="3"/>
      <c r="H18" s="3"/>
      <c r="I18" s="3"/>
      <c r="J18" s="3"/>
      <c r="K18" s="3"/>
      <c r="L18" s="3"/>
      <c r="M18" s="3"/>
      <c r="N18" s="3"/>
    </row>
    <row r="19" spans="1:14" x14ac:dyDescent="0.45">
      <c r="A19" s="3"/>
      <c r="B19" s="3"/>
      <c r="C19" s="3"/>
      <c r="D19" s="3"/>
      <c r="E19" s="3"/>
      <c r="F19" s="3"/>
      <c r="G19" s="3"/>
      <c r="H19" s="3"/>
      <c r="I19" s="3"/>
      <c r="J19" s="3"/>
      <c r="K19" s="3"/>
      <c r="L19" s="3"/>
      <c r="M19" s="3"/>
      <c r="N19" s="3"/>
    </row>
    <row r="20" spans="1:14" x14ac:dyDescent="0.45">
      <c r="A20" s="3"/>
      <c r="B20" s="3"/>
      <c r="C20" s="3"/>
      <c r="D20" s="3"/>
      <c r="E20" s="3"/>
      <c r="F20" s="3"/>
      <c r="G20" s="3"/>
      <c r="H20" s="3"/>
      <c r="I20" s="3"/>
      <c r="J20" s="3"/>
      <c r="K20" s="3"/>
      <c r="L20" s="3"/>
      <c r="M20" s="3"/>
      <c r="N20" s="3"/>
    </row>
    <row r="21" spans="1:14" x14ac:dyDescent="0.45">
      <c r="A21" s="3"/>
      <c r="B21" s="3"/>
      <c r="C21" s="3"/>
      <c r="D21" s="3"/>
      <c r="E21" s="3"/>
      <c r="F21" s="3"/>
      <c r="G21" s="3"/>
      <c r="H21" s="3"/>
      <c r="I21" s="3"/>
      <c r="J21" s="3"/>
      <c r="K21" s="3"/>
      <c r="L21" s="3"/>
      <c r="M21" s="3"/>
      <c r="N21" s="3"/>
    </row>
    <row r="22" spans="1:14" ht="5.65" customHeight="1" x14ac:dyDescent="0.45">
      <c r="A22" s="3"/>
      <c r="B22" s="3"/>
      <c r="C22" s="3"/>
      <c r="D22" s="3"/>
      <c r="E22" s="3"/>
      <c r="F22" s="3"/>
      <c r="G22" s="3"/>
      <c r="H22" s="3"/>
      <c r="I22" s="3"/>
      <c r="J22" s="3"/>
      <c r="K22" s="3"/>
      <c r="L22" s="3"/>
      <c r="M22" s="3"/>
      <c r="N22"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DDDD-1939-49E8-8171-084291BC4AB0}">
  <dimension ref="B1:O24"/>
  <sheetViews>
    <sheetView workbookViewId="0">
      <selection activeCell="K26" sqref="K26"/>
    </sheetView>
  </sheetViews>
  <sheetFormatPr defaultRowHeight="14.25" x14ac:dyDescent="0.45"/>
  <sheetData>
    <row r="1" spans="2:15" ht="24.4" x14ac:dyDescent="0.6">
      <c r="B1" s="5" t="s">
        <v>8</v>
      </c>
      <c r="C1" s="6"/>
      <c r="D1" s="6"/>
      <c r="E1" s="6"/>
      <c r="F1" s="6"/>
      <c r="G1" s="6"/>
      <c r="H1" s="6"/>
      <c r="I1" s="6"/>
      <c r="J1" s="6"/>
      <c r="K1" s="6"/>
      <c r="L1" s="6"/>
      <c r="M1" s="6"/>
      <c r="N1" s="6"/>
      <c r="O1" s="6"/>
    </row>
    <row r="2" spans="2:15" x14ac:dyDescent="0.45">
      <c r="B2" s="10"/>
      <c r="C2" s="10"/>
      <c r="D2" s="10"/>
      <c r="E2" s="10"/>
      <c r="F2" s="10"/>
      <c r="G2" s="10"/>
      <c r="H2" s="10"/>
      <c r="I2" s="10"/>
      <c r="J2" s="10"/>
      <c r="K2" s="10"/>
      <c r="L2" s="10"/>
      <c r="M2" s="10"/>
      <c r="N2" s="10"/>
      <c r="O2" s="10"/>
    </row>
    <row r="3" spans="2:15" x14ac:dyDescent="0.45">
      <c r="B3" s="10"/>
      <c r="C3" s="10"/>
      <c r="D3" s="10"/>
      <c r="E3" s="10"/>
      <c r="F3" s="10"/>
      <c r="G3" s="10"/>
      <c r="H3" s="10"/>
      <c r="I3" s="10"/>
      <c r="J3" s="10"/>
      <c r="K3" s="10"/>
      <c r="L3" s="10"/>
      <c r="M3" s="10"/>
      <c r="N3" s="10"/>
      <c r="O3" s="10"/>
    </row>
    <row r="4" spans="2:15" x14ac:dyDescent="0.45">
      <c r="B4" s="10"/>
      <c r="C4" s="10"/>
      <c r="D4" s="10"/>
      <c r="E4" s="10"/>
      <c r="F4" s="10"/>
      <c r="G4" s="10"/>
      <c r="H4" s="10"/>
      <c r="I4" s="10"/>
      <c r="J4" s="10"/>
      <c r="K4" s="10"/>
      <c r="L4" s="10"/>
      <c r="M4" s="10"/>
      <c r="N4" s="10"/>
      <c r="O4" s="10"/>
    </row>
    <row r="5" spans="2:15" x14ac:dyDescent="0.45">
      <c r="B5" s="10"/>
      <c r="C5" s="10"/>
      <c r="D5" s="10"/>
      <c r="E5" s="10"/>
      <c r="F5" s="10"/>
      <c r="G5" s="10"/>
      <c r="H5" s="10"/>
      <c r="I5" s="10"/>
      <c r="J5" s="10"/>
      <c r="K5" s="10"/>
      <c r="L5" s="10"/>
      <c r="M5" s="10"/>
      <c r="N5" s="10"/>
      <c r="O5" s="10"/>
    </row>
    <row r="6" spans="2:15" x14ac:dyDescent="0.45">
      <c r="B6" s="10"/>
      <c r="C6" s="10"/>
      <c r="D6" s="10"/>
      <c r="E6" s="10"/>
      <c r="F6" s="10"/>
      <c r="G6" s="10"/>
      <c r="H6" s="10"/>
      <c r="I6" s="10"/>
      <c r="J6" s="10"/>
      <c r="K6" s="10"/>
      <c r="L6" s="10"/>
      <c r="M6" s="10"/>
      <c r="N6" s="10"/>
      <c r="O6" s="10"/>
    </row>
    <row r="7" spans="2:15" x14ac:dyDescent="0.45">
      <c r="B7" s="10"/>
      <c r="C7" s="10"/>
      <c r="D7" s="10"/>
      <c r="E7" s="10"/>
      <c r="F7" s="10"/>
      <c r="G7" s="10"/>
      <c r="H7" s="10"/>
      <c r="I7" s="10"/>
      <c r="J7" s="10"/>
      <c r="K7" s="10"/>
      <c r="L7" s="10"/>
      <c r="M7" s="10"/>
      <c r="N7" s="10"/>
      <c r="O7" s="10"/>
    </row>
    <row r="8" spans="2:15" x14ac:dyDescent="0.45">
      <c r="B8" s="10"/>
      <c r="C8" s="10"/>
      <c r="D8" s="10"/>
      <c r="E8" s="10"/>
      <c r="F8" s="10"/>
      <c r="G8" s="10"/>
      <c r="H8" s="10"/>
      <c r="I8" s="10"/>
      <c r="J8" s="10"/>
      <c r="K8" s="10"/>
      <c r="L8" s="10"/>
      <c r="M8" s="10"/>
      <c r="N8" s="10"/>
      <c r="O8" s="10"/>
    </row>
    <row r="9" spans="2:15" x14ac:dyDescent="0.45">
      <c r="B9" s="10"/>
      <c r="C9" s="10"/>
      <c r="D9" s="10"/>
      <c r="E9" s="10"/>
      <c r="F9" s="10"/>
      <c r="G9" s="10"/>
      <c r="H9" s="10"/>
      <c r="I9" s="10"/>
      <c r="J9" s="10"/>
      <c r="K9" s="10"/>
      <c r="L9" s="10"/>
      <c r="M9" s="10"/>
      <c r="N9" s="10"/>
      <c r="O9" s="10"/>
    </row>
    <row r="10" spans="2:15" x14ac:dyDescent="0.45">
      <c r="B10" s="10"/>
      <c r="C10" s="10"/>
      <c r="D10" s="10"/>
      <c r="E10" s="10"/>
      <c r="F10" s="10"/>
      <c r="G10" s="10"/>
      <c r="H10" s="10"/>
      <c r="I10" s="10"/>
      <c r="J10" s="10"/>
      <c r="K10" s="10"/>
      <c r="L10" s="10"/>
      <c r="M10" s="10"/>
      <c r="N10" s="10"/>
      <c r="O10" s="10"/>
    </row>
    <row r="11" spans="2:15" x14ac:dyDescent="0.45">
      <c r="B11" s="10"/>
      <c r="C11" s="10"/>
      <c r="D11" s="10"/>
      <c r="E11" s="10"/>
      <c r="F11" s="10"/>
      <c r="G11" s="10"/>
      <c r="H11" s="10"/>
      <c r="I11" s="10"/>
      <c r="J11" s="10"/>
      <c r="K11" s="10"/>
      <c r="L11" s="10"/>
      <c r="M11" s="10"/>
      <c r="N11" s="10"/>
      <c r="O11" s="10"/>
    </row>
    <row r="12" spans="2:15" x14ac:dyDescent="0.45">
      <c r="B12" s="10"/>
      <c r="C12" s="10"/>
      <c r="D12" s="10"/>
      <c r="E12" s="10"/>
      <c r="F12" s="10"/>
      <c r="G12" s="10"/>
      <c r="H12" s="10"/>
      <c r="I12" s="10"/>
      <c r="J12" s="10"/>
      <c r="K12" s="10"/>
      <c r="L12" s="10"/>
      <c r="M12" s="10"/>
      <c r="N12" s="10"/>
      <c r="O12" s="10"/>
    </row>
    <row r="13" spans="2:15" x14ac:dyDescent="0.45">
      <c r="B13" s="10"/>
      <c r="C13" s="10"/>
      <c r="D13" s="10"/>
      <c r="E13" s="10"/>
      <c r="F13" s="10"/>
      <c r="G13" s="10"/>
      <c r="H13" s="10"/>
      <c r="I13" s="10"/>
      <c r="J13" s="10"/>
      <c r="K13" s="10"/>
      <c r="L13" s="10"/>
      <c r="M13" s="10"/>
      <c r="N13" s="10"/>
      <c r="O13" s="10"/>
    </row>
    <row r="14" spans="2:15" x14ac:dyDescent="0.45">
      <c r="B14" s="10"/>
      <c r="C14" s="10"/>
      <c r="D14" s="10"/>
      <c r="E14" s="10"/>
      <c r="F14" s="10"/>
      <c r="G14" s="10"/>
      <c r="H14" s="10"/>
      <c r="I14" s="10"/>
      <c r="J14" s="10"/>
      <c r="K14" s="10"/>
      <c r="L14" s="10"/>
      <c r="M14" s="10"/>
      <c r="N14" s="10"/>
      <c r="O14" s="10"/>
    </row>
    <row r="15" spans="2:15" x14ac:dyDescent="0.45">
      <c r="B15" s="10"/>
      <c r="C15" s="10"/>
      <c r="D15" s="10"/>
      <c r="E15" s="10"/>
      <c r="F15" s="10"/>
      <c r="G15" s="10"/>
      <c r="H15" s="10"/>
      <c r="I15" s="10"/>
      <c r="J15" s="10"/>
      <c r="K15" s="10"/>
      <c r="L15" s="10"/>
      <c r="M15" s="10"/>
      <c r="N15" s="10"/>
      <c r="O15" s="10"/>
    </row>
    <row r="16" spans="2:15" x14ac:dyDescent="0.45">
      <c r="B16" s="10"/>
      <c r="C16" s="10"/>
      <c r="D16" s="10"/>
      <c r="E16" s="10"/>
      <c r="F16" s="10"/>
      <c r="G16" s="10"/>
      <c r="H16" s="10"/>
      <c r="I16" s="10"/>
      <c r="J16" s="10"/>
      <c r="K16" s="10"/>
      <c r="L16" s="10"/>
      <c r="M16" s="10"/>
      <c r="N16" s="10"/>
      <c r="O16" s="10"/>
    </row>
    <row r="17" spans="2:15" x14ac:dyDescent="0.45">
      <c r="B17" s="10"/>
      <c r="C17" s="10"/>
      <c r="D17" s="10"/>
      <c r="E17" s="10"/>
      <c r="F17" s="10"/>
      <c r="G17" s="10"/>
      <c r="H17" s="10"/>
      <c r="I17" s="10"/>
      <c r="J17" s="10"/>
      <c r="K17" s="10"/>
      <c r="L17" s="10"/>
      <c r="M17" s="10"/>
      <c r="N17" s="10"/>
      <c r="O17" s="10"/>
    </row>
    <row r="18" spans="2:15" x14ac:dyDescent="0.45">
      <c r="B18" s="10"/>
      <c r="C18" s="10"/>
      <c r="D18" s="10"/>
      <c r="E18" s="10"/>
      <c r="F18" s="10"/>
      <c r="G18" s="10"/>
      <c r="H18" s="10"/>
      <c r="I18" s="10"/>
      <c r="J18" s="10"/>
      <c r="K18" s="10"/>
      <c r="L18" s="10"/>
      <c r="M18" s="10"/>
      <c r="N18" s="10"/>
      <c r="O18" s="10"/>
    </row>
    <row r="19" spans="2:15" x14ac:dyDescent="0.45">
      <c r="B19" s="10"/>
      <c r="C19" s="10"/>
      <c r="D19" s="10"/>
      <c r="E19" s="10"/>
      <c r="F19" s="10"/>
      <c r="G19" s="10"/>
      <c r="H19" s="10"/>
      <c r="I19" s="10"/>
      <c r="J19" s="10"/>
      <c r="K19" s="10"/>
      <c r="L19" s="10"/>
      <c r="M19" s="10"/>
      <c r="N19" s="10"/>
      <c r="O19" s="10"/>
    </row>
    <row r="20" spans="2:15" x14ac:dyDescent="0.45">
      <c r="B20" s="10"/>
      <c r="C20" s="10"/>
      <c r="D20" s="10"/>
      <c r="E20" s="10"/>
      <c r="F20" s="10"/>
      <c r="G20" s="10"/>
      <c r="H20" s="10"/>
      <c r="I20" s="10"/>
      <c r="J20" s="10"/>
      <c r="K20" s="10"/>
      <c r="L20" s="10"/>
      <c r="M20" s="10"/>
      <c r="N20" s="10"/>
      <c r="O20" s="10"/>
    </row>
    <row r="21" spans="2:15" x14ac:dyDescent="0.45">
      <c r="B21" s="10"/>
      <c r="C21" s="10"/>
      <c r="D21" s="10"/>
      <c r="E21" s="10"/>
      <c r="F21" s="10"/>
      <c r="G21" s="10"/>
      <c r="H21" s="10"/>
      <c r="I21" s="10"/>
      <c r="J21" s="10"/>
      <c r="K21" s="10"/>
      <c r="L21" s="10"/>
      <c r="M21" s="10"/>
      <c r="N21" s="10"/>
      <c r="O21" s="10"/>
    </row>
    <row r="22" spans="2:15" x14ac:dyDescent="0.45">
      <c r="B22" s="10"/>
      <c r="C22" s="10"/>
      <c r="D22" s="10"/>
      <c r="E22" s="10"/>
      <c r="F22" s="10"/>
      <c r="G22" s="10"/>
      <c r="H22" s="10"/>
      <c r="I22" s="10"/>
      <c r="J22" s="10"/>
      <c r="K22" s="10"/>
      <c r="L22" s="10"/>
      <c r="M22" s="10"/>
      <c r="N22" s="10"/>
      <c r="O22" s="10"/>
    </row>
    <row r="23" spans="2:15" x14ac:dyDescent="0.45">
      <c r="B23" s="10"/>
      <c r="C23" s="11" t="s">
        <v>9</v>
      </c>
      <c r="D23" s="10"/>
      <c r="E23" s="10"/>
      <c r="F23" s="10"/>
      <c r="G23" s="10"/>
      <c r="H23" s="10"/>
      <c r="I23" s="10"/>
      <c r="J23" s="10"/>
      <c r="K23" s="10"/>
      <c r="L23" s="10"/>
      <c r="M23" s="10"/>
      <c r="N23" s="10"/>
      <c r="O23" s="10"/>
    </row>
    <row r="24" spans="2:15" x14ac:dyDescent="0.45">
      <c r="B24" s="10"/>
      <c r="C24" s="10"/>
      <c r="D24" s="10"/>
      <c r="E24" s="10"/>
      <c r="F24" s="10"/>
      <c r="G24" s="10"/>
      <c r="H24" s="10"/>
      <c r="I24" s="10"/>
      <c r="J24" s="10"/>
      <c r="K24" s="10"/>
      <c r="L24" s="10"/>
      <c r="M24" s="10"/>
      <c r="N24" s="10"/>
      <c r="O24"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6D35D-F318-47F9-8759-822F95FA0963}">
  <dimension ref="B1:S25"/>
  <sheetViews>
    <sheetView zoomScale="71" workbookViewId="0"/>
  </sheetViews>
  <sheetFormatPr defaultRowHeight="14.25" x14ac:dyDescent="0.45"/>
  <sheetData>
    <row r="1" spans="2:19" s="7" customFormat="1" ht="37.15" x14ac:dyDescent="1.1499999999999999">
      <c r="B1" s="9" t="s">
        <v>7</v>
      </c>
      <c r="C1" s="8"/>
      <c r="D1" s="8"/>
      <c r="E1" s="8"/>
      <c r="F1" s="8"/>
      <c r="G1" s="8"/>
      <c r="H1" s="8"/>
      <c r="I1" s="8"/>
      <c r="J1" s="8"/>
      <c r="K1" s="8"/>
      <c r="L1" s="8"/>
      <c r="M1" s="8"/>
      <c r="N1" s="8"/>
      <c r="O1" s="8"/>
      <c r="P1" s="8"/>
      <c r="Q1" s="8"/>
      <c r="R1" s="8"/>
      <c r="S1" s="8"/>
    </row>
    <row r="2" spans="2:19" x14ac:dyDescent="0.45">
      <c r="B2" s="10"/>
      <c r="C2" s="10"/>
      <c r="D2" s="10"/>
      <c r="E2" s="10"/>
      <c r="F2" s="10"/>
      <c r="G2" s="10"/>
      <c r="H2" s="10"/>
      <c r="I2" s="10"/>
      <c r="J2" s="10"/>
      <c r="K2" s="10"/>
      <c r="L2" s="10"/>
      <c r="M2" s="10"/>
      <c r="N2" s="10"/>
      <c r="O2" s="10"/>
      <c r="P2" s="10"/>
      <c r="Q2" s="10"/>
      <c r="R2" s="10"/>
      <c r="S2" s="10"/>
    </row>
    <row r="3" spans="2:19" x14ac:dyDescent="0.45">
      <c r="B3" s="10"/>
      <c r="C3" s="10"/>
      <c r="D3" s="10"/>
      <c r="E3" s="10"/>
      <c r="F3" s="10"/>
      <c r="G3" s="10"/>
      <c r="H3" s="10"/>
      <c r="I3" s="10"/>
      <c r="J3" s="10"/>
      <c r="K3" s="10"/>
      <c r="L3" s="10"/>
      <c r="M3" s="10"/>
      <c r="N3" s="10"/>
      <c r="O3" s="10"/>
      <c r="P3" s="10"/>
      <c r="Q3" s="10"/>
      <c r="R3" s="10"/>
      <c r="S3" s="10"/>
    </row>
    <row r="4" spans="2:19" x14ac:dyDescent="0.45">
      <c r="B4" s="10"/>
      <c r="C4" s="10"/>
      <c r="D4" s="10"/>
      <c r="E4" s="10"/>
      <c r="F4" s="10"/>
      <c r="G4" s="10"/>
      <c r="H4" s="10"/>
      <c r="I4" s="10"/>
      <c r="J4" s="10"/>
      <c r="K4" s="10"/>
      <c r="L4" s="10"/>
      <c r="M4" s="10"/>
      <c r="N4" s="10"/>
      <c r="O4" s="10"/>
      <c r="P4" s="10"/>
      <c r="Q4" s="10"/>
      <c r="R4" s="10"/>
      <c r="S4" s="10"/>
    </row>
    <row r="5" spans="2:19" x14ac:dyDescent="0.45">
      <c r="B5" s="10"/>
      <c r="C5" s="10"/>
      <c r="D5" s="10"/>
      <c r="E5" s="10"/>
      <c r="F5" s="10"/>
      <c r="G5" s="10"/>
      <c r="H5" s="10"/>
      <c r="I5" s="10"/>
      <c r="J5" s="10"/>
      <c r="K5" s="10"/>
      <c r="L5" s="10"/>
      <c r="M5" s="10"/>
      <c r="N5" s="10"/>
      <c r="O5" s="10"/>
      <c r="P5" s="10"/>
      <c r="Q5" s="10"/>
      <c r="R5" s="10"/>
      <c r="S5" s="10"/>
    </row>
    <row r="6" spans="2:19" x14ac:dyDescent="0.45">
      <c r="B6" s="10"/>
      <c r="C6" s="10"/>
      <c r="D6" s="10"/>
      <c r="E6" s="10"/>
      <c r="F6" s="10"/>
      <c r="G6" s="10"/>
      <c r="H6" s="10"/>
      <c r="I6" s="10"/>
      <c r="J6" s="10"/>
      <c r="K6" s="10"/>
      <c r="L6" s="10"/>
      <c r="M6" s="10"/>
      <c r="N6" s="10"/>
      <c r="O6" s="10"/>
      <c r="P6" s="10"/>
      <c r="Q6" s="10"/>
      <c r="R6" s="10"/>
      <c r="S6" s="10"/>
    </row>
    <row r="7" spans="2:19" x14ac:dyDescent="0.45">
      <c r="B7" s="10"/>
      <c r="C7" s="10"/>
      <c r="D7" s="10"/>
      <c r="E7" s="10"/>
      <c r="F7" s="10"/>
      <c r="G7" s="10"/>
      <c r="H7" s="10"/>
      <c r="I7" s="10"/>
      <c r="J7" s="10"/>
      <c r="K7" s="10"/>
      <c r="L7" s="10"/>
      <c r="M7" s="10"/>
      <c r="N7" s="10"/>
      <c r="O7" s="10"/>
      <c r="P7" s="10"/>
      <c r="Q7" s="10"/>
      <c r="R7" s="10"/>
      <c r="S7" s="10"/>
    </row>
    <row r="8" spans="2:19" x14ac:dyDescent="0.45">
      <c r="B8" s="10"/>
      <c r="C8" s="10"/>
      <c r="D8" s="10"/>
      <c r="E8" s="10"/>
      <c r="F8" s="10"/>
      <c r="G8" s="10"/>
      <c r="H8" s="10"/>
      <c r="I8" s="10"/>
      <c r="J8" s="10"/>
      <c r="K8" s="10"/>
      <c r="L8" s="10"/>
      <c r="M8" s="10"/>
      <c r="N8" s="10"/>
      <c r="O8" s="10"/>
      <c r="P8" s="10"/>
      <c r="Q8" s="10"/>
      <c r="R8" s="10"/>
      <c r="S8" s="10"/>
    </row>
    <row r="9" spans="2:19" x14ac:dyDescent="0.45">
      <c r="B9" s="10"/>
      <c r="C9" s="10"/>
      <c r="D9" s="10"/>
      <c r="E9" s="10"/>
      <c r="F9" s="10"/>
      <c r="G9" s="10"/>
      <c r="H9" s="10"/>
      <c r="I9" s="10"/>
      <c r="J9" s="10"/>
      <c r="K9" s="10"/>
      <c r="L9" s="10"/>
      <c r="M9" s="10"/>
      <c r="N9" s="10"/>
      <c r="O9" s="10"/>
      <c r="P9" s="10"/>
      <c r="Q9" s="10"/>
      <c r="R9" s="10"/>
      <c r="S9" s="10"/>
    </row>
    <row r="10" spans="2:19" x14ac:dyDescent="0.45">
      <c r="B10" s="10"/>
      <c r="C10" s="10"/>
      <c r="D10" s="10"/>
      <c r="E10" s="10"/>
      <c r="F10" s="10"/>
      <c r="G10" s="10"/>
      <c r="H10" s="10"/>
      <c r="I10" s="10"/>
      <c r="J10" s="10"/>
      <c r="K10" s="10"/>
      <c r="L10" s="10"/>
      <c r="M10" s="10"/>
      <c r="N10" s="10"/>
      <c r="O10" s="10"/>
      <c r="P10" s="10"/>
      <c r="Q10" s="10"/>
      <c r="R10" s="10"/>
      <c r="S10" s="10"/>
    </row>
    <row r="11" spans="2:19" x14ac:dyDescent="0.45">
      <c r="B11" s="10"/>
      <c r="C11" s="10"/>
      <c r="D11" s="10"/>
      <c r="E11" s="10"/>
      <c r="F11" s="10"/>
      <c r="G11" s="10"/>
      <c r="H11" s="10"/>
      <c r="I11" s="10"/>
      <c r="J11" s="10"/>
      <c r="K11" s="10"/>
      <c r="L11" s="10"/>
      <c r="M11" s="10"/>
      <c r="N11" s="10"/>
      <c r="O11" s="10"/>
      <c r="P11" s="10"/>
      <c r="Q11" s="10"/>
      <c r="R11" s="10"/>
      <c r="S11" s="10"/>
    </row>
    <row r="12" spans="2:19" x14ac:dyDescent="0.45">
      <c r="B12" s="10"/>
      <c r="C12" s="10"/>
      <c r="D12" s="10"/>
      <c r="E12" s="10"/>
      <c r="F12" s="10"/>
      <c r="G12" s="10"/>
      <c r="H12" s="10"/>
      <c r="I12" s="10"/>
      <c r="J12" s="10"/>
      <c r="K12" s="10"/>
      <c r="L12" s="10"/>
      <c r="M12" s="10"/>
      <c r="N12" s="10"/>
      <c r="O12" s="10"/>
      <c r="P12" s="10"/>
      <c r="Q12" s="10"/>
      <c r="R12" s="10"/>
      <c r="S12" s="10"/>
    </row>
    <row r="13" spans="2:19" x14ac:dyDescent="0.45">
      <c r="B13" s="10"/>
      <c r="C13" s="10"/>
      <c r="D13" s="10"/>
      <c r="E13" s="10"/>
      <c r="F13" s="10"/>
      <c r="G13" s="10"/>
      <c r="H13" s="10"/>
      <c r="I13" s="10"/>
      <c r="J13" s="10"/>
      <c r="K13" s="10"/>
      <c r="L13" s="10"/>
      <c r="M13" s="10"/>
      <c r="N13" s="10"/>
      <c r="O13" s="10"/>
      <c r="P13" s="10"/>
      <c r="Q13" s="10"/>
      <c r="R13" s="10"/>
      <c r="S13" s="10"/>
    </row>
    <row r="14" spans="2:19" x14ac:dyDescent="0.45">
      <c r="B14" s="10"/>
      <c r="C14" s="10"/>
      <c r="D14" s="10"/>
      <c r="E14" s="10"/>
      <c r="F14" s="10"/>
      <c r="G14" s="10"/>
      <c r="H14" s="10"/>
      <c r="I14" s="10"/>
      <c r="J14" s="10"/>
      <c r="K14" s="10"/>
      <c r="L14" s="10"/>
      <c r="M14" s="10"/>
      <c r="N14" s="10"/>
      <c r="O14" s="10"/>
      <c r="P14" s="10"/>
      <c r="Q14" s="10"/>
      <c r="R14" s="10"/>
      <c r="S14" s="10"/>
    </row>
    <row r="15" spans="2:19" x14ac:dyDescent="0.45">
      <c r="B15" s="10"/>
      <c r="C15" s="10"/>
      <c r="D15" s="10"/>
      <c r="E15" s="10"/>
      <c r="F15" s="10"/>
      <c r="G15" s="10"/>
      <c r="H15" s="10"/>
      <c r="I15" s="10"/>
      <c r="J15" s="10"/>
      <c r="K15" s="10"/>
      <c r="L15" s="10"/>
      <c r="M15" s="10"/>
      <c r="N15" s="10"/>
      <c r="O15" s="10"/>
      <c r="P15" s="10"/>
      <c r="Q15" s="10"/>
      <c r="R15" s="10"/>
      <c r="S15" s="10"/>
    </row>
    <row r="16" spans="2:19" x14ac:dyDescent="0.45">
      <c r="B16" s="10"/>
      <c r="C16" s="10"/>
      <c r="D16" s="10"/>
      <c r="E16" s="10"/>
      <c r="F16" s="10"/>
      <c r="G16" s="10"/>
      <c r="H16" s="10"/>
      <c r="I16" s="10"/>
      <c r="J16" s="10"/>
      <c r="K16" s="10"/>
      <c r="L16" s="10"/>
      <c r="M16" s="10"/>
      <c r="N16" s="10"/>
      <c r="O16" s="10"/>
      <c r="P16" s="10"/>
      <c r="Q16" s="10"/>
      <c r="R16" s="10"/>
      <c r="S16" s="10"/>
    </row>
    <row r="17" spans="2:19" x14ac:dyDescent="0.45">
      <c r="B17" s="10"/>
      <c r="C17" s="10"/>
      <c r="D17" s="10"/>
      <c r="E17" s="10"/>
      <c r="F17" s="10"/>
      <c r="G17" s="10"/>
      <c r="H17" s="10"/>
      <c r="I17" s="10"/>
      <c r="J17" s="10"/>
      <c r="K17" s="10"/>
      <c r="L17" s="10"/>
      <c r="M17" s="10"/>
      <c r="N17" s="10"/>
      <c r="O17" s="10"/>
      <c r="P17" s="10"/>
      <c r="Q17" s="10"/>
      <c r="R17" s="10"/>
      <c r="S17" s="10"/>
    </row>
    <row r="18" spans="2:19" x14ac:dyDescent="0.45">
      <c r="B18" s="10"/>
      <c r="C18" s="10"/>
      <c r="D18" s="10"/>
      <c r="E18" s="10"/>
      <c r="F18" s="10"/>
      <c r="G18" s="10"/>
      <c r="H18" s="10"/>
      <c r="I18" s="10"/>
      <c r="J18" s="10"/>
      <c r="K18" s="10"/>
      <c r="L18" s="10"/>
      <c r="M18" s="10"/>
      <c r="N18" s="10"/>
      <c r="O18" s="10"/>
      <c r="P18" s="10"/>
      <c r="Q18" s="10"/>
      <c r="R18" s="10"/>
      <c r="S18" s="10"/>
    </row>
    <row r="19" spans="2:19" x14ac:dyDescent="0.45">
      <c r="B19" s="10"/>
      <c r="C19" s="10"/>
      <c r="D19" s="10"/>
      <c r="E19" s="10"/>
      <c r="F19" s="10"/>
      <c r="G19" s="10"/>
      <c r="H19" s="10"/>
      <c r="I19" s="10"/>
      <c r="J19" s="10"/>
      <c r="K19" s="10"/>
      <c r="L19" s="10"/>
      <c r="M19" s="10"/>
      <c r="N19" s="10"/>
      <c r="O19" s="10"/>
      <c r="P19" s="10"/>
      <c r="Q19" s="10"/>
      <c r="R19" s="10"/>
      <c r="S19" s="10"/>
    </row>
    <row r="20" spans="2:19" x14ac:dyDescent="0.45">
      <c r="B20" s="10"/>
      <c r="C20" s="10"/>
      <c r="D20" s="10"/>
      <c r="E20" s="10"/>
      <c r="F20" s="10"/>
      <c r="G20" s="10"/>
      <c r="H20" s="10"/>
      <c r="I20" s="10"/>
      <c r="J20" s="10"/>
      <c r="K20" s="10"/>
      <c r="L20" s="10"/>
      <c r="M20" s="10"/>
      <c r="N20" s="10"/>
      <c r="O20" s="10"/>
      <c r="P20" s="10"/>
      <c r="Q20" s="10"/>
      <c r="R20" s="10"/>
      <c r="S20" s="10"/>
    </row>
    <row r="21" spans="2:19" x14ac:dyDescent="0.45">
      <c r="B21" s="10"/>
      <c r="C21" s="10"/>
      <c r="D21" s="10"/>
      <c r="E21" s="10"/>
      <c r="F21" s="10"/>
      <c r="G21" s="10"/>
      <c r="H21" s="10"/>
      <c r="I21" s="10"/>
      <c r="J21" s="10"/>
      <c r="K21" s="10"/>
      <c r="L21" s="10"/>
      <c r="M21" s="10"/>
      <c r="N21" s="10"/>
      <c r="O21" s="10"/>
      <c r="P21" s="10"/>
      <c r="Q21" s="10"/>
      <c r="R21" s="10"/>
      <c r="S21" s="10"/>
    </row>
    <row r="22" spans="2:19" x14ac:dyDescent="0.45">
      <c r="B22" s="10"/>
      <c r="C22" s="10"/>
      <c r="D22" s="10"/>
      <c r="E22" s="10"/>
      <c r="F22" s="10"/>
      <c r="G22" s="10"/>
      <c r="H22" s="10"/>
      <c r="I22" s="10"/>
      <c r="J22" s="10"/>
      <c r="K22" s="10"/>
      <c r="L22" s="10"/>
      <c r="M22" s="10"/>
      <c r="N22" s="10"/>
      <c r="O22" s="10"/>
      <c r="P22" s="10"/>
      <c r="Q22" s="10"/>
      <c r="R22" s="10"/>
      <c r="S22" s="10"/>
    </row>
    <row r="23" spans="2:19" ht="17.25" x14ac:dyDescent="0.45">
      <c r="B23" s="12" t="s">
        <v>10</v>
      </c>
      <c r="C23" s="10"/>
      <c r="D23" s="10"/>
      <c r="E23" s="10"/>
      <c r="F23" s="10"/>
      <c r="G23" s="10"/>
      <c r="H23" s="10"/>
      <c r="I23" s="10"/>
      <c r="J23" s="10"/>
      <c r="K23" s="10"/>
      <c r="L23" s="10"/>
      <c r="M23" s="10"/>
      <c r="N23" s="10"/>
      <c r="O23" s="10"/>
      <c r="P23" s="10"/>
      <c r="Q23" s="10"/>
      <c r="R23" s="10"/>
      <c r="S23" s="10"/>
    </row>
    <row r="24" spans="2:19" x14ac:dyDescent="0.45">
      <c r="B24" s="10"/>
      <c r="C24" s="10"/>
      <c r="D24" s="10"/>
      <c r="E24" s="10"/>
      <c r="F24" s="10"/>
      <c r="G24" s="10"/>
      <c r="H24" s="10"/>
      <c r="I24" s="10"/>
      <c r="J24" s="10"/>
      <c r="K24" s="10"/>
      <c r="L24" s="10"/>
      <c r="M24" s="10"/>
      <c r="N24" s="10"/>
      <c r="O24" s="10"/>
      <c r="P24" s="10"/>
      <c r="Q24" s="10"/>
      <c r="R24" s="10"/>
      <c r="S24" s="10"/>
    </row>
    <row r="25" spans="2:19" x14ac:dyDescent="0.45">
      <c r="B25" s="10"/>
      <c r="C25" s="10"/>
      <c r="D25" s="10"/>
      <c r="E25" s="10"/>
      <c r="F25" s="10"/>
      <c r="G25" s="10"/>
      <c r="H25" s="10"/>
      <c r="I25" s="10"/>
      <c r="J25" s="10"/>
      <c r="K25" s="10"/>
      <c r="L25" s="10"/>
      <c r="M25" s="10"/>
      <c r="N25" s="10"/>
      <c r="O25" s="10"/>
      <c r="P25" s="10"/>
      <c r="Q25" s="10"/>
      <c r="R25" s="10"/>
      <c r="S25"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70AB-BD49-4636-8BDE-ABCB45DE61A4}">
  <dimension ref="B1:S25"/>
  <sheetViews>
    <sheetView zoomScale="71" workbookViewId="0"/>
  </sheetViews>
  <sheetFormatPr defaultRowHeight="14.25" x14ac:dyDescent="0.45"/>
  <sheetData>
    <row r="1" spans="2:19" s="7" customFormat="1" ht="37.15" x14ac:dyDescent="1.1499999999999999">
      <c r="B1" s="9" t="s">
        <v>12</v>
      </c>
      <c r="C1" s="8"/>
      <c r="D1" s="8"/>
      <c r="E1" s="8"/>
      <c r="F1" s="8"/>
      <c r="G1" s="8"/>
      <c r="H1" s="8"/>
      <c r="I1" s="8"/>
      <c r="J1" s="8"/>
      <c r="K1" s="8"/>
      <c r="L1" s="8"/>
      <c r="M1" s="8"/>
      <c r="N1" s="8"/>
      <c r="O1" s="8"/>
      <c r="P1" s="8"/>
      <c r="Q1" s="8"/>
      <c r="R1" s="8"/>
      <c r="S1" s="8"/>
    </row>
    <row r="2" spans="2:19" x14ac:dyDescent="0.45">
      <c r="B2" s="10"/>
      <c r="C2" s="10"/>
      <c r="D2" s="10"/>
      <c r="E2" s="10"/>
      <c r="F2" s="10"/>
      <c r="G2" s="10"/>
      <c r="H2" s="10"/>
      <c r="I2" s="10"/>
      <c r="J2" s="10"/>
      <c r="K2" s="10"/>
      <c r="L2" s="10"/>
      <c r="M2" s="10"/>
      <c r="N2" s="10"/>
      <c r="O2" s="10"/>
      <c r="P2" s="10"/>
      <c r="Q2" s="10"/>
      <c r="R2" s="10"/>
      <c r="S2" s="10"/>
    </row>
    <row r="3" spans="2:19" x14ac:dyDescent="0.45">
      <c r="B3" s="10"/>
      <c r="C3" s="10"/>
      <c r="D3" s="10"/>
      <c r="E3" s="10"/>
      <c r="F3" s="10"/>
      <c r="G3" s="10"/>
      <c r="H3" s="10"/>
      <c r="I3" s="10"/>
      <c r="J3" s="10"/>
      <c r="K3" s="10"/>
      <c r="L3" s="10"/>
      <c r="M3" s="10"/>
      <c r="N3" s="10"/>
      <c r="O3" s="10"/>
      <c r="P3" s="10"/>
      <c r="Q3" s="10"/>
      <c r="R3" s="10"/>
      <c r="S3" s="10"/>
    </row>
    <row r="4" spans="2:19" x14ac:dyDescent="0.45">
      <c r="B4" s="10"/>
      <c r="C4" s="10"/>
      <c r="D4" s="10"/>
      <c r="E4" s="10"/>
      <c r="F4" s="10"/>
      <c r="G4" s="10"/>
      <c r="H4" s="10"/>
      <c r="I4" s="10"/>
      <c r="J4" s="10"/>
      <c r="K4" s="10"/>
      <c r="L4" s="10"/>
      <c r="M4" s="10"/>
      <c r="N4" s="10"/>
      <c r="O4" s="10"/>
      <c r="P4" s="10"/>
      <c r="Q4" s="10"/>
      <c r="R4" s="10"/>
      <c r="S4" s="10"/>
    </row>
    <row r="5" spans="2:19" x14ac:dyDescent="0.45">
      <c r="B5" s="10"/>
      <c r="C5" s="10"/>
      <c r="D5" s="10"/>
      <c r="E5" s="10"/>
      <c r="F5" s="10"/>
      <c r="G5" s="10"/>
      <c r="H5" s="10"/>
      <c r="I5" s="10"/>
      <c r="J5" s="10"/>
      <c r="K5" s="10"/>
      <c r="L5" s="10"/>
      <c r="M5" s="10"/>
      <c r="N5" s="10"/>
      <c r="O5" s="10"/>
      <c r="P5" s="10"/>
      <c r="Q5" s="10"/>
      <c r="R5" s="10"/>
      <c r="S5" s="10"/>
    </row>
    <row r="6" spans="2:19" x14ac:dyDescent="0.45">
      <c r="B6" s="10"/>
      <c r="C6" s="10"/>
      <c r="D6" s="10"/>
      <c r="E6" s="10"/>
      <c r="F6" s="10"/>
      <c r="G6" s="10"/>
      <c r="H6" s="10"/>
      <c r="I6" s="10"/>
      <c r="J6" s="10"/>
      <c r="K6" s="10"/>
      <c r="L6" s="10"/>
      <c r="M6" s="10"/>
      <c r="N6" s="10"/>
      <c r="O6" s="10"/>
      <c r="P6" s="10"/>
      <c r="Q6" s="10"/>
      <c r="R6" s="10"/>
      <c r="S6" s="10"/>
    </row>
    <row r="7" spans="2:19" x14ac:dyDescent="0.45">
      <c r="B7" s="10"/>
      <c r="C7" s="10"/>
      <c r="D7" s="10"/>
      <c r="E7" s="10"/>
      <c r="F7" s="10"/>
      <c r="G7" s="10"/>
      <c r="H7" s="10"/>
      <c r="I7" s="10"/>
      <c r="J7" s="10"/>
      <c r="K7" s="10"/>
      <c r="L7" s="10"/>
      <c r="M7" s="10"/>
      <c r="N7" s="10"/>
      <c r="O7" s="10"/>
      <c r="P7" s="10"/>
      <c r="Q7" s="10"/>
      <c r="R7" s="10"/>
      <c r="S7" s="10"/>
    </row>
    <row r="8" spans="2:19" x14ac:dyDescent="0.45">
      <c r="B8" s="10"/>
      <c r="C8" s="10"/>
      <c r="D8" s="10"/>
      <c r="E8" s="10"/>
      <c r="F8" s="10"/>
      <c r="G8" s="10"/>
      <c r="H8" s="10"/>
      <c r="I8" s="10"/>
      <c r="J8" s="10"/>
      <c r="K8" s="10"/>
      <c r="L8" s="10"/>
      <c r="M8" s="10"/>
      <c r="N8" s="10"/>
      <c r="O8" s="10"/>
      <c r="P8" s="10"/>
      <c r="Q8" s="10"/>
      <c r="R8" s="10"/>
      <c r="S8" s="10"/>
    </row>
    <row r="9" spans="2:19" x14ac:dyDescent="0.45">
      <c r="B9" s="10"/>
      <c r="C9" s="10"/>
      <c r="D9" s="10"/>
      <c r="E9" s="10"/>
      <c r="F9" s="10"/>
      <c r="G9" s="10"/>
      <c r="H9" s="10"/>
      <c r="I9" s="10"/>
      <c r="J9" s="10"/>
      <c r="K9" s="10"/>
      <c r="L9" s="10"/>
      <c r="M9" s="10"/>
      <c r="N9" s="10"/>
      <c r="O9" s="10"/>
      <c r="P9" s="10"/>
      <c r="Q9" s="10"/>
      <c r="R9" s="10"/>
      <c r="S9" s="10"/>
    </row>
    <row r="10" spans="2:19" x14ac:dyDescent="0.45">
      <c r="B10" s="10"/>
      <c r="C10" s="10"/>
      <c r="D10" s="10"/>
      <c r="E10" s="10"/>
      <c r="F10" s="10"/>
      <c r="G10" s="10"/>
      <c r="H10" s="10"/>
      <c r="I10" s="10"/>
      <c r="J10" s="10"/>
      <c r="K10" s="10"/>
      <c r="L10" s="10"/>
      <c r="M10" s="10"/>
      <c r="N10" s="10"/>
      <c r="O10" s="10"/>
      <c r="P10" s="10"/>
      <c r="Q10" s="10"/>
      <c r="R10" s="10"/>
      <c r="S10" s="10"/>
    </row>
    <row r="11" spans="2:19" x14ac:dyDescent="0.45">
      <c r="B11" s="10"/>
      <c r="C11" s="10"/>
      <c r="D11" s="10"/>
      <c r="E11" s="10"/>
      <c r="F11" s="10"/>
      <c r="G11" s="10"/>
      <c r="H11" s="10"/>
      <c r="I11" s="10"/>
      <c r="J11" s="10"/>
      <c r="K11" s="10"/>
      <c r="L11" s="10"/>
      <c r="M11" s="10"/>
      <c r="N11" s="10"/>
      <c r="O11" s="10"/>
      <c r="P11" s="10"/>
      <c r="Q11" s="10"/>
      <c r="R11" s="10"/>
      <c r="S11" s="10"/>
    </row>
    <row r="12" spans="2:19" x14ac:dyDescent="0.45">
      <c r="B12" s="10"/>
      <c r="C12" s="10"/>
      <c r="D12" s="10"/>
      <c r="E12" s="10"/>
      <c r="F12" s="10"/>
      <c r="G12" s="10"/>
      <c r="H12" s="10"/>
      <c r="I12" s="10"/>
      <c r="J12" s="10"/>
      <c r="K12" s="10"/>
      <c r="L12" s="10"/>
      <c r="M12" s="10"/>
      <c r="N12" s="10"/>
      <c r="O12" s="10"/>
      <c r="P12" s="10"/>
      <c r="Q12" s="10"/>
      <c r="R12" s="10"/>
      <c r="S12" s="10"/>
    </row>
    <row r="13" spans="2:19" x14ac:dyDescent="0.45">
      <c r="B13" s="10"/>
      <c r="C13" s="10"/>
      <c r="D13" s="10"/>
      <c r="E13" s="10"/>
      <c r="F13" s="10"/>
      <c r="G13" s="10"/>
      <c r="H13" s="10"/>
      <c r="I13" s="10"/>
      <c r="J13" s="10"/>
      <c r="K13" s="10"/>
      <c r="L13" s="10"/>
      <c r="M13" s="10"/>
      <c r="N13" s="10"/>
      <c r="O13" s="10"/>
      <c r="P13" s="10"/>
      <c r="Q13" s="10"/>
      <c r="R13" s="10"/>
      <c r="S13" s="10"/>
    </row>
    <row r="14" spans="2:19" x14ac:dyDescent="0.45">
      <c r="B14" s="10"/>
      <c r="C14" s="10"/>
      <c r="D14" s="10"/>
      <c r="E14" s="10"/>
      <c r="F14" s="10"/>
      <c r="G14" s="10"/>
      <c r="H14" s="10"/>
      <c r="I14" s="10"/>
      <c r="J14" s="10"/>
      <c r="K14" s="10"/>
      <c r="L14" s="10"/>
      <c r="M14" s="10"/>
      <c r="N14" s="10"/>
      <c r="O14" s="10"/>
      <c r="P14" s="10"/>
      <c r="Q14" s="10"/>
      <c r="R14" s="10"/>
      <c r="S14" s="10"/>
    </row>
    <row r="15" spans="2:19" x14ac:dyDescent="0.45">
      <c r="B15" s="10"/>
      <c r="C15" s="10"/>
      <c r="D15" s="10"/>
      <c r="E15" s="10"/>
      <c r="F15" s="10"/>
      <c r="G15" s="10"/>
      <c r="H15" s="10"/>
      <c r="I15" s="10"/>
      <c r="J15" s="10"/>
      <c r="K15" s="10"/>
      <c r="L15" s="10"/>
      <c r="M15" s="10"/>
      <c r="N15" s="10"/>
      <c r="O15" s="10"/>
      <c r="P15" s="10"/>
      <c r="Q15" s="10"/>
      <c r="R15" s="10"/>
      <c r="S15" s="10"/>
    </row>
    <row r="16" spans="2:19" x14ac:dyDescent="0.45">
      <c r="B16" s="10"/>
      <c r="C16" s="10"/>
      <c r="D16" s="10"/>
      <c r="E16" s="10"/>
      <c r="F16" s="10"/>
      <c r="G16" s="10"/>
      <c r="H16" s="10"/>
      <c r="I16" s="10"/>
      <c r="J16" s="10"/>
      <c r="K16" s="10"/>
      <c r="L16" s="10"/>
      <c r="M16" s="10"/>
      <c r="N16" s="10"/>
      <c r="O16" s="10"/>
      <c r="P16" s="10"/>
      <c r="Q16" s="10"/>
      <c r="R16" s="10"/>
      <c r="S16" s="10"/>
    </row>
    <row r="17" spans="2:19" x14ac:dyDescent="0.45">
      <c r="B17" s="10"/>
      <c r="C17" s="10"/>
      <c r="D17" s="10"/>
      <c r="E17" s="10"/>
      <c r="F17" s="10"/>
      <c r="G17" s="10"/>
      <c r="H17" s="10"/>
      <c r="I17" s="10"/>
      <c r="J17" s="10"/>
      <c r="K17" s="10"/>
      <c r="L17" s="10"/>
      <c r="M17" s="10"/>
      <c r="N17" s="10"/>
      <c r="O17" s="10"/>
      <c r="P17" s="10"/>
      <c r="Q17" s="10"/>
      <c r="R17" s="10"/>
      <c r="S17" s="10"/>
    </row>
    <row r="18" spans="2:19" x14ac:dyDescent="0.45">
      <c r="B18" s="10"/>
      <c r="C18" s="10"/>
      <c r="D18" s="10"/>
      <c r="E18" s="10"/>
      <c r="F18" s="10"/>
      <c r="G18" s="10"/>
      <c r="H18" s="10"/>
      <c r="I18" s="10"/>
      <c r="J18" s="10"/>
      <c r="K18" s="10"/>
      <c r="L18" s="10"/>
      <c r="M18" s="10"/>
      <c r="N18" s="10"/>
      <c r="O18" s="10"/>
      <c r="P18" s="10"/>
      <c r="Q18" s="10"/>
      <c r="R18" s="10"/>
      <c r="S18" s="10"/>
    </row>
    <row r="19" spans="2:19" x14ac:dyDescent="0.45">
      <c r="B19" s="10"/>
      <c r="C19" s="10"/>
      <c r="D19" s="10"/>
      <c r="E19" s="10"/>
      <c r="F19" s="10"/>
      <c r="G19" s="10"/>
      <c r="H19" s="10"/>
      <c r="I19" s="10"/>
      <c r="J19" s="10"/>
      <c r="K19" s="10"/>
      <c r="L19" s="10"/>
      <c r="M19" s="10"/>
      <c r="N19" s="10"/>
      <c r="O19" s="10"/>
      <c r="P19" s="10"/>
      <c r="Q19" s="10"/>
      <c r="R19" s="10"/>
      <c r="S19" s="10"/>
    </row>
    <row r="20" spans="2:19" x14ac:dyDescent="0.45">
      <c r="B20" s="10"/>
      <c r="C20" s="10"/>
      <c r="D20" s="10"/>
      <c r="E20" s="10"/>
      <c r="F20" s="10"/>
      <c r="G20" s="10"/>
      <c r="H20" s="10"/>
      <c r="I20" s="10"/>
      <c r="J20" s="10"/>
      <c r="K20" s="10"/>
      <c r="L20" s="10"/>
      <c r="M20" s="10"/>
      <c r="N20" s="10"/>
      <c r="O20" s="10"/>
      <c r="P20" s="10"/>
      <c r="Q20" s="10"/>
      <c r="R20" s="10"/>
      <c r="S20" s="10"/>
    </row>
    <row r="21" spans="2:19" x14ac:dyDescent="0.45">
      <c r="B21" s="10"/>
      <c r="C21" s="10"/>
      <c r="D21" s="10"/>
      <c r="E21" s="10"/>
      <c r="F21" s="10"/>
      <c r="G21" s="10"/>
      <c r="H21" s="10"/>
      <c r="I21" s="10"/>
      <c r="J21" s="10"/>
      <c r="K21" s="10"/>
      <c r="L21" s="10"/>
      <c r="M21" s="10"/>
      <c r="N21" s="10"/>
      <c r="O21" s="10"/>
      <c r="P21" s="10"/>
      <c r="Q21" s="10"/>
      <c r="R21" s="10"/>
      <c r="S21" s="10"/>
    </row>
    <row r="22" spans="2:19" x14ac:dyDescent="0.45">
      <c r="B22" s="10"/>
      <c r="C22" s="10"/>
      <c r="D22" s="10"/>
      <c r="E22" s="10"/>
      <c r="F22" s="10"/>
      <c r="G22" s="10"/>
      <c r="H22" s="10"/>
      <c r="I22" s="10"/>
      <c r="J22" s="10"/>
      <c r="K22" s="10"/>
      <c r="L22" s="10"/>
      <c r="M22" s="10"/>
      <c r="N22" s="10"/>
      <c r="O22" s="10"/>
      <c r="P22" s="10"/>
      <c r="Q22" s="10"/>
      <c r="R22" s="10"/>
      <c r="S22" s="10"/>
    </row>
    <row r="23" spans="2:19" ht="17.25" x14ac:dyDescent="0.45">
      <c r="B23" s="12" t="s">
        <v>11</v>
      </c>
      <c r="C23" s="10"/>
      <c r="D23" s="10"/>
      <c r="E23" s="10"/>
      <c r="F23" s="10"/>
      <c r="G23" s="10"/>
      <c r="H23" s="10"/>
      <c r="I23" s="10"/>
      <c r="J23" s="10"/>
      <c r="K23" s="10"/>
      <c r="L23" s="10"/>
      <c r="M23" s="10"/>
      <c r="N23" s="10"/>
      <c r="O23" s="10"/>
      <c r="P23" s="10"/>
      <c r="Q23" s="10"/>
      <c r="R23" s="10"/>
      <c r="S23" s="10"/>
    </row>
    <row r="24" spans="2:19" x14ac:dyDescent="0.45">
      <c r="B24" s="10"/>
      <c r="C24" s="10"/>
      <c r="D24" s="10"/>
      <c r="E24" s="10"/>
      <c r="F24" s="10"/>
      <c r="G24" s="10"/>
      <c r="H24" s="10"/>
      <c r="I24" s="10"/>
      <c r="J24" s="10"/>
      <c r="K24" s="10"/>
      <c r="L24" s="10"/>
      <c r="M24" s="10"/>
      <c r="N24" s="10"/>
      <c r="O24" s="10"/>
      <c r="P24" s="10"/>
      <c r="Q24" s="10"/>
      <c r="R24" s="10"/>
      <c r="S24" s="10"/>
    </row>
    <row r="25" spans="2:19" x14ac:dyDescent="0.45">
      <c r="B25" s="10"/>
      <c r="C25" s="10"/>
      <c r="D25" s="10"/>
      <c r="E25" s="10"/>
      <c r="F25" s="10"/>
      <c r="G25" s="10"/>
      <c r="H25" s="10"/>
      <c r="I25" s="10"/>
      <c r="J25" s="10"/>
      <c r="K25" s="10"/>
      <c r="L25" s="10"/>
      <c r="M25" s="10"/>
      <c r="N25" s="10"/>
      <c r="O25" s="10"/>
      <c r="P25" s="10"/>
      <c r="Q25" s="10"/>
      <c r="R25" s="10"/>
      <c r="S25"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56DAE3-A0FC-4C56-9D8A-7E7A287A5A93}">
  <ds:schemaRefs>
    <ds:schemaRef ds:uri="http://schemas.microsoft.com/DataMashup"/>
  </ds:schemaRefs>
</ds:datastoreItem>
</file>

<file path=customXml/itemProps2.xml><?xml version="1.0" encoding="utf-8"?>
<ds:datastoreItem xmlns:ds="http://schemas.openxmlformats.org/officeDocument/2006/customXml" ds:itemID="{C16CBE2C-AD5F-4671-838E-350A994E92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Alhat</dc:creator>
  <cp:lastModifiedBy>Abhinav Alhat</cp:lastModifiedBy>
  <dcterms:created xsi:type="dcterms:W3CDTF">2026-01-07T12:07:24Z</dcterms:created>
  <dcterms:modified xsi:type="dcterms:W3CDTF">2026-01-07T21:35:12Z</dcterms:modified>
</cp:coreProperties>
</file>